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alob\OneDrive\Área de Trabalho\Projeto UFSM FUTSAL\"/>
    </mc:Choice>
  </mc:AlternateContent>
  <xr:revisionPtr revIDLastSave="0" documentId="13_ncr:1_{16BA9D79-5EAF-4023-A078-D7834B08623F}" xr6:coauthVersionLast="47" xr6:coauthVersionMax="47" xr10:uidLastSave="{00000000-0000-0000-0000-000000000000}"/>
  <bookViews>
    <workbookView xWindow="-108" yWindow="-108" windowWidth="23256" windowHeight="12456" activeTab="1" xr2:uid="{CBCF74E8-AC25-47BC-AF82-1B0D868BD4FF}"/>
  </bookViews>
  <sheets>
    <sheet name="botões" sheetId="1" r:id="rId1"/>
    <sheet name="BDjogadas" sheetId="9" r:id="rId2"/>
    <sheet name="Graf" sheetId="8" r:id="rId3"/>
  </sheets>
  <definedNames>
    <definedName name="_xleta.T" hidden="1" xlm="1">#NAME?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8" l="1"/>
  <c r="J14" i="9"/>
  <c r="C11" i="8"/>
  <c r="C6" i="8"/>
  <c r="C1" i="8"/>
  <c r="J10" i="9"/>
  <c r="J6" i="9"/>
  <c r="J2" i="9"/>
  <c r="H16" i="9"/>
  <c r="C7" i="8"/>
  <c r="C10" i="8"/>
  <c r="C8" i="8"/>
  <c r="C9" i="8"/>
  <c r="C20" i="8"/>
  <c r="C19" i="8"/>
  <c r="C18" i="8"/>
  <c r="C17" i="8"/>
  <c r="C15" i="8"/>
  <c r="C14" i="8"/>
  <c r="C13" i="8"/>
  <c r="C12" i="8"/>
  <c r="C5" i="8"/>
  <c r="C4" i="8"/>
  <c r="C3" i="8"/>
  <c r="C2" i="8"/>
  <c r="N27" i="8" l="1"/>
  <c r="M26" i="8"/>
  <c r="L25" i="8"/>
  <c r="K24" i="8"/>
  <c r="N21" i="8"/>
  <c r="M20" i="8"/>
  <c r="L19" i="8"/>
  <c r="K18" i="8"/>
  <c r="N15" i="8"/>
  <c r="M14" i="8"/>
  <c r="L13" i="8"/>
  <c r="K12" i="8"/>
  <c r="N9" i="8"/>
  <c r="M8" i="8"/>
  <c r="L7" i="8"/>
  <c r="K6" i="8"/>
  <c r="J6" i="8" l="1"/>
  <c r="J12" i="8"/>
  <c r="J18" i="8"/>
  <c r="J24" i="8"/>
  <c r="H2" i="9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7" i="9"/>
  <c r="C41" i="8" l="1"/>
  <c r="C30" i="8"/>
  <c r="C31" i="8"/>
  <c r="C32" i="8"/>
  <c r="C37" i="8" l="1"/>
  <c r="C24" i="8"/>
  <c r="C38" i="8"/>
  <c r="C27" i="8"/>
  <c r="C35" i="8"/>
  <c r="C39" i="8"/>
  <c r="C33" i="8"/>
  <c r="C40" i="8"/>
  <c r="C34" i="8"/>
  <c r="C29" i="8"/>
  <c r="C26" i="8"/>
  <c r="C42" i="8"/>
  <c r="C36" i="8"/>
  <c r="C28" i="8"/>
  <c r="C25" i="8"/>
  <c r="C23" i="8" l="1"/>
</calcChain>
</file>

<file path=xl/sharedStrings.xml><?xml version="1.0" encoding="utf-8"?>
<sst xmlns="http://schemas.openxmlformats.org/spreadsheetml/2006/main" count="90" uniqueCount="30">
  <si>
    <t>ATAQUE</t>
  </si>
  <si>
    <t>SDP</t>
  </si>
  <si>
    <t>GOL</t>
  </si>
  <si>
    <t>EFICIÊNCIA</t>
  </si>
  <si>
    <t>EFICIÊNCIAS</t>
  </si>
  <si>
    <t>LATERAL OFENSIVO</t>
  </si>
  <si>
    <t>SEM JOGADA</t>
  </si>
  <si>
    <t>COM JOGADA BEM EXECUTADA</t>
  </si>
  <si>
    <t>COM JOGADA EXECUÇÃO RUIM</t>
  </si>
  <si>
    <t>FALTA</t>
  </si>
  <si>
    <t>CANTO</t>
  </si>
  <si>
    <t>BEM EXECUTADA</t>
  </si>
  <si>
    <t>EXECUÇÃO RUIM</t>
  </si>
  <si>
    <t>EXECUÇAO RUIM</t>
  </si>
  <si>
    <t>FALTA SEM JOGADA</t>
  </si>
  <si>
    <t>FALTA EXECUÇÃO RUIM</t>
  </si>
  <si>
    <t>CANTO EXECUÇÃO RUIM</t>
  </si>
  <si>
    <t>SDP EXECUÇÃO RUIM</t>
  </si>
  <si>
    <t>SDP GOL</t>
  </si>
  <si>
    <t>CANTO SEM JOGADA</t>
  </si>
  <si>
    <t>SDP SEM JOGADA</t>
  </si>
  <si>
    <t>FALTA BEM EXECUTADA</t>
  </si>
  <si>
    <t>CANTO BEM EXECUTADA</t>
  </si>
  <si>
    <t>SDP BEM EXECUTADA</t>
  </si>
  <si>
    <t>FALTA GOL</t>
  </si>
  <si>
    <t>CANTO GOL</t>
  </si>
  <si>
    <t>LATERAL OFENSIVO BEM EXECUTADA</t>
  </si>
  <si>
    <t>LATERAL OFENSIVO EXECUÇÃO RUIM</t>
  </si>
  <si>
    <t>LATERAL OFENSIVO GOL</t>
  </si>
  <si>
    <t>LATERAL OFENSIVO SEM JOGADA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</si>
</sst>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venir Next LT Pro"/>
      <family val="2"/>
    </font>
    <font>
      <sz val="11"/>
      <color theme="1"/>
      <name val="Avenir Next LT Pro"/>
      <family val="2"/>
    </font>
    <font>
      <sz val="12"/>
      <color rgb="FF000000"/>
      <name val="Avenir Next LT Pro"/>
      <family val="2"/>
    </font>
    <font>
      <b/>
      <sz val="14"/>
      <color theme="1"/>
      <name val="Avenir Next LT Pro"/>
      <family val="2"/>
    </font>
    <font>
      <b/>
      <sz val="11"/>
      <color theme="0"/>
      <name val="Avenir Next LT Pro"/>
      <family val="2"/>
    </font>
    <font>
      <b/>
      <sz val="12"/>
      <color rgb="FF000000"/>
      <name val="Avenir Next LT Pro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/>
    <xf numFmtId="164" fontId="2" fillId="0" borderId="0" xfId="0" applyNumberFormat="1" applyFont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1" fillId="4" borderId="0" xfId="0" applyFont="1" applyFill="1"/>
    <xf numFmtId="22" fontId="0" fillId="0" borderId="0" xfId="0" applyNumberFormat="1"/>
    <xf numFmtId="0" fontId="2" fillId="5" borderId="1" xfId="0" applyFont="1" applyFill="1" applyBorder="1" applyAlignment="1">
      <alignment horizontal="center" vertical="center"/>
    </xf>
    <xf numFmtId="164" fontId="2" fillId="5" borderId="1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64" fontId="2" fillId="4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164" fontId="2" fillId="6" borderId="1" xfId="0" applyNumberFormat="1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164" fontId="2" fillId="7" borderId="1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66"/>
      <color rgb="FFCC9900"/>
      <color rgb="FFCC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r>
              <a:rPr lang="pt-BR">
                <a:solidFill>
                  <a:schemeClr val="bg1"/>
                </a:solidFill>
              </a:rPr>
              <a:t>FALTAS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Avenir Next LT Pro" panose="020B05040202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Avenir Next LT Pro" panose="020B0504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Graf!$B$1:$B$5</c:f>
              <c:strCache>
                <c:ptCount val="5"/>
                <c:pt idx="0">
                  <c:v>EFICIÊNCIA</c:v>
                </c:pt>
                <c:pt idx="1">
                  <c:v>SEM JOGADA</c:v>
                </c:pt>
                <c:pt idx="2">
                  <c:v>EXECUÇAO RUIM</c:v>
                </c:pt>
                <c:pt idx="3">
                  <c:v>BEM EXECUTADA</c:v>
                </c:pt>
                <c:pt idx="4">
                  <c:v>GOL</c:v>
                </c:pt>
              </c:strCache>
            </c:strRef>
          </c:cat>
          <c:val>
            <c:numRef>
              <c:f>Graf!$C$1:$C$5</c:f>
              <c:numCache>
                <c:formatCode>0.0</c:formatCode>
                <c:ptCount val="5"/>
                <c:pt idx="0">
                  <c:v>70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60-4BA4-A17D-21C2D1A242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12731711"/>
        <c:axId val="812741311"/>
      </c:barChart>
      <c:catAx>
        <c:axId val="812731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cap="all" baseline="0">
                <a:solidFill>
                  <a:schemeClr val="bg1"/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pt-BR"/>
          </a:p>
        </c:txPr>
        <c:crossAx val="812741311"/>
        <c:crosses val="autoZero"/>
        <c:auto val="1"/>
        <c:lblAlgn val="ctr"/>
        <c:lblOffset val="100"/>
        <c:noMultiLvlLbl val="0"/>
      </c:catAx>
      <c:valAx>
        <c:axId val="81274131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crossAx val="812731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Avenir Next LT Pro" panose="020B05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r>
              <a:rPr lang="pt-BR">
                <a:solidFill>
                  <a:schemeClr val="bg1"/>
                </a:solidFill>
              </a:rPr>
              <a:t>LATERAL OFENSIVO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Avenir Next LT Pro" panose="020B05040202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Avenir Next LT Pro" panose="020B0504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Graf!$B$6:$B$10</c:f>
              <c:strCache>
                <c:ptCount val="5"/>
                <c:pt idx="0">
                  <c:v>EFICIÊNCIA</c:v>
                </c:pt>
                <c:pt idx="1">
                  <c:v>SEM JOGADA</c:v>
                </c:pt>
                <c:pt idx="2">
                  <c:v>EXECUÇAO RUIM</c:v>
                </c:pt>
                <c:pt idx="3">
                  <c:v>BEM EXECUTADA</c:v>
                </c:pt>
                <c:pt idx="4">
                  <c:v>GOL</c:v>
                </c:pt>
              </c:strCache>
            </c:strRef>
          </c:cat>
          <c:val>
            <c:numRef>
              <c:f>Graf!$C$6:$C$10</c:f>
              <c:numCache>
                <c:formatCode>0.0</c:formatCode>
                <c:ptCount val="5"/>
                <c:pt idx="0">
                  <c:v>70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DF-4A79-A00C-85C251E4045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12731711"/>
        <c:axId val="812741311"/>
      </c:barChart>
      <c:catAx>
        <c:axId val="812731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cap="all" baseline="0">
                <a:solidFill>
                  <a:schemeClr val="bg1"/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pt-BR"/>
          </a:p>
        </c:txPr>
        <c:crossAx val="812741311"/>
        <c:crosses val="autoZero"/>
        <c:auto val="1"/>
        <c:lblAlgn val="ctr"/>
        <c:lblOffset val="100"/>
        <c:noMultiLvlLbl val="0"/>
      </c:catAx>
      <c:valAx>
        <c:axId val="81274131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crossAx val="812731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B050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Avenir Next LT Pro" panose="020B05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r>
              <a:rPr lang="pt-BR">
                <a:solidFill>
                  <a:schemeClr val="bg1"/>
                </a:solidFill>
              </a:rPr>
              <a:t>CANTOS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Avenir Next LT Pro" panose="020B05040202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Avenir Next LT Pro" panose="020B0504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Graf!$B$11:$B$15</c:f>
              <c:strCache>
                <c:ptCount val="5"/>
                <c:pt idx="0">
                  <c:v>EFICIÊNCIA</c:v>
                </c:pt>
                <c:pt idx="1">
                  <c:v>SEM JOGADA</c:v>
                </c:pt>
                <c:pt idx="2">
                  <c:v>EXECUÇAO RUIM</c:v>
                </c:pt>
                <c:pt idx="3">
                  <c:v>BEM EXECUTADA</c:v>
                </c:pt>
                <c:pt idx="4">
                  <c:v>GOL</c:v>
                </c:pt>
              </c:strCache>
            </c:strRef>
          </c:cat>
          <c:val>
            <c:numRef>
              <c:f>Graf!$C$11:$C$15</c:f>
              <c:numCache>
                <c:formatCode>0.0</c:formatCode>
                <c:ptCount val="5"/>
                <c:pt idx="0">
                  <c:v>70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37-45DD-807C-AA2D68A682D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12731711"/>
        <c:axId val="812741311"/>
      </c:barChart>
      <c:catAx>
        <c:axId val="812731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cap="all" baseline="0">
                <a:solidFill>
                  <a:schemeClr val="bg1"/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pt-BR"/>
          </a:p>
        </c:txPr>
        <c:crossAx val="812741311"/>
        <c:crosses val="autoZero"/>
        <c:auto val="1"/>
        <c:lblAlgn val="ctr"/>
        <c:lblOffset val="100"/>
        <c:noMultiLvlLbl val="0"/>
      </c:catAx>
      <c:valAx>
        <c:axId val="81274131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crossAx val="812731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5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Avenir Next LT Pro" panose="020B05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r>
              <a:rPr lang="pt-BR">
                <a:solidFill>
                  <a:schemeClr val="bg1"/>
                </a:solidFill>
              </a:rPr>
              <a:t>EFICIÊNCIAS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Avenir Next LT Pro" panose="020B05040202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Avenir Next LT Pro" panose="020B0504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Graf!$B$23:$B$26</c:f>
              <c:strCache>
                <c:ptCount val="4"/>
                <c:pt idx="0">
                  <c:v>FALTA</c:v>
                </c:pt>
                <c:pt idx="1">
                  <c:v>LATERAL OFENSIVO</c:v>
                </c:pt>
                <c:pt idx="2">
                  <c:v>CANTO</c:v>
                </c:pt>
                <c:pt idx="3">
                  <c:v>SDP</c:v>
                </c:pt>
              </c:strCache>
            </c:strRef>
          </c:cat>
          <c:val>
            <c:numRef>
              <c:f>Graf!$C$23:$C$26</c:f>
              <c:numCache>
                <c:formatCode>0.0</c:formatCode>
                <c:ptCount val="4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B9-41CE-A018-0A1E5F86F2F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12731711"/>
        <c:axId val="812741311"/>
      </c:barChart>
      <c:catAx>
        <c:axId val="812731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pt-BR"/>
          </a:p>
        </c:txPr>
        <c:crossAx val="812741311"/>
        <c:crosses val="autoZero"/>
        <c:auto val="1"/>
        <c:lblAlgn val="ctr"/>
        <c:lblOffset val="100"/>
        <c:noMultiLvlLbl val="0"/>
      </c:catAx>
      <c:valAx>
        <c:axId val="81274131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crossAx val="812731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75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Avenir Next LT Pro" panose="020B05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Graf!$A$1:$B$20</c:f>
              <c:multiLvlStrCache>
                <c:ptCount val="20"/>
                <c:lvl>
                  <c:pt idx="0">
                    <c:v>EFICIÊNCIA</c:v>
                  </c:pt>
                  <c:pt idx="1">
                    <c:v>SEM JOGADA</c:v>
                  </c:pt>
                  <c:pt idx="2">
                    <c:v>EXECUÇAO RUIM</c:v>
                  </c:pt>
                  <c:pt idx="3">
                    <c:v>BEM EXECUTADA</c:v>
                  </c:pt>
                  <c:pt idx="4">
                    <c:v>GOL</c:v>
                  </c:pt>
                  <c:pt idx="5">
                    <c:v>EFICIÊNCIA</c:v>
                  </c:pt>
                  <c:pt idx="6">
                    <c:v>SEM JOGADA</c:v>
                  </c:pt>
                  <c:pt idx="7">
                    <c:v>EXECUÇAO RUIM</c:v>
                  </c:pt>
                  <c:pt idx="8">
                    <c:v>BEM EXECUTADA</c:v>
                  </c:pt>
                  <c:pt idx="9">
                    <c:v>GOL</c:v>
                  </c:pt>
                  <c:pt idx="10">
                    <c:v>EFICIÊNCIA</c:v>
                  </c:pt>
                  <c:pt idx="11">
                    <c:v>SEM JOGADA</c:v>
                  </c:pt>
                  <c:pt idx="12">
                    <c:v>EXECUÇAO RUIM</c:v>
                  </c:pt>
                  <c:pt idx="13">
                    <c:v>BEM EXECUTADA</c:v>
                  </c:pt>
                  <c:pt idx="14">
                    <c:v>GOL</c:v>
                  </c:pt>
                  <c:pt idx="15">
                    <c:v>EFICIÊNCIA</c:v>
                  </c:pt>
                  <c:pt idx="16">
                    <c:v>SEM JOGADA</c:v>
                  </c:pt>
                  <c:pt idx="17">
                    <c:v>EXECUÇAO RUIM</c:v>
                  </c:pt>
                  <c:pt idx="18">
                    <c:v>BEM EXECUTADA</c:v>
                  </c:pt>
                  <c:pt idx="19">
                    <c:v>GOL</c:v>
                  </c:pt>
                </c:lvl>
                <c:lvl>
                  <c:pt idx="0">
                    <c:v>FALTA</c:v>
                  </c:pt>
                  <c:pt idx="5">
                    <c:v>LATERAL OFENSIVO</c:v>
                  </c:pt>
                  <c:pt idx="10">
                    <c:v>CANTO</c:v>
                  </c:pt>
                  <c:pt idx="15">
                    <c:v>SDP</c:v>
                  </c:pt>
                </c:lvl>
              </c:multiLvlStrCache>
            </c:multiLvlStrRef>
          </c:cat>
          <c:val>
            <c:numRef>
              <c:f>Graf!$C$1:$C$20</c:f>
              <c:numCache>
                <c:formatCode>0.0</c:formatCode>
                <c:ptCount val="20"/>
                <c:pt idx="0">
                  <c:v>70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70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70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70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CB-46C6-9F33-E13876AAD5E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94426015"/>
        <c:axId val="894421695"/>
      </c:barChart>
      <c:catAx>
        <c:axId val="89442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4421695"/>
        <c:crosses val="autoZero"/>
        <c:auto val="1"/>
        <c:lblAlgn val="ctr"/>
        <c:lblOffset val="100"/>
        <c:noMultiLvlLbl val="0"/>
      </c:catAx>
      <c:valAx>
        <c:axId val="894421695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crossAx val="894426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Graf!$A$23:$B$41</c:f>
              <c:multiLvlStrCache>
                <c:ptCount val="19"/>
                <c:lvl>
                  <c:pt idx="0">
                    <c:v>FALTA</c:v>
                  </c:pt>
                  <c:pt idx="1">
                    <c:v>LATERAL OFENSIVO</c:v>
                  </c:pt>
                  <c:pt idx="2">
                    <c:v>CANTO</c:v>
                  </c:pt>
                  <c:pt idx="3">
                    <c:v>SDP</c:v>
                  </c:pt>
                  <c:pt idx="4">
                    <c:v>FALTA</c:v>
                  </c:pt>
                  <c:pt idx="5">
                    <c:v>LATERAL OFENSIVO</c:v>
                  </c:pt>
                  <c:pt idx="6">
                    <c:v>CANTO</c:v>
                  </c:pt>
                  <c:pt idx="7">
                    <c:v>SDP</c:v>
                  </c:pt>
                  <c:pt idx="8">
                    <c:v>FALTA</c:v>
                  </c:pt>
                  <c:pt idx="9">
                    <c:v>LATERAL OFENSIVO</c:v>
                  </c:pt>
                  <c:pt idx="10">
                    <c:v>CANTO</c:v>
                  </c:pt>
                  <c:pt idx="11">
                    <c:v>SDP</c:v>
                  </c:pt>
                  <c:pt idx="12">
                    <c:v>FALTA</c:v>
                  </c:pt>
                  <c:pt idx="13">
                    <c:v>LATERAL OFENSIVO</c:v>
                  </c:pt>
                  <c:pt idx="14">
                    <c:v>CANTO</c:v>
                  </c:pt>
                  <c:pt idx="15">
                    <c:v>SDP</c:v>
                  </c:pt>
                  <c:pt idx="16">
                    <c:v>FALTA</c:v>
                  </c:pt>
                  <c:pt idx="17">
                    <c:v>LATERAL OFENSIVO</c:v>
                  </c:pt>
                  <c:pt idx="18">
                    <c:v>CANTO</c:v>
                  </c:pt>
                </c:lvl>
                <c:lvl>
                  <c:pt idx="0">
                    <c:v>EFICIÊNCIAS</c:v>
                  </c:pt>
                  <c:pt idx="4">
                    <c:v>SEM JOGADA</c:v>
                  </c:pt>
                  <c:pt idx="8">
                    <c:v>EXECUÇÃO RUIM</c:v>
                  </c:pt>
                  <c:pt idx="12">
                    <c:v>BEM EXECUTADA</c:v>
                  </c:pt>
                  <c:pt idx="16">
                    <c:v>GOL</c:v>
                  </c:pt>
                </c:lvl>
              </c:multiLvlStrCache>
            </c:multiLvlStrRef>
          </c:cat>
          <c:val>
            <c:numRef>
              <c:f>Graf!$C$23:$C$41</c:f>
              <c:numCache>
                <c:formatCode>0.0</c:formatCode>
                <c:ptCount val="19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A9-49C3-BDB6-AA9AD0F05D3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94426015"/>
        <c:axId val="894421695"/>
      </c:barChart>
      <c:catAx>
        <c:axId val="89442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4421695"/>
        <c:crosses val="autoZero"/>
        <c:auto val="1"/>
        <c:lblAlgn val="ctr"/>
        <c:lblOffset val="100"/>
        <c:noMultiLvlLbl val="0"/>
      </c:catAx>
      <c:valAx>
        <c:axId val="894421695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crossAx val="894426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r>
              <a:rPr lang="pt-BR">
                <a:solidFill>
                  <a:schemeClr val="bg1"/>
                </a:solidFill>
              </a:rPr>
              <a:t>SDP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Avenir Next LT Pro" panose="020B05040202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FF66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Avenir Next LT Pro" panose="020B0504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Graf!$B$16:$B$20</c:f>
              <c:strCache>
                <c:ptCount val="5"/>
                <c:pt idx="0">
                  <c:v>EFICIÊNCIA</c:v>
                </c:pt>
                <c:pt idx="1">
                  <c:v>SEM JOGADA</c:v>
                </c:pt>
                <c:pt idx="2">
                  <c:v>EXECUÇAO RUIM</c:v>
                </c:pt>
                <c:pt idx="3">
                  <c:v>BEM EXECUTADA</c:v>
                </c:pt>
                <c:pt idx="4">
                  <c:v>GOL</c:v>
                </c:pt>
              </c:strCache>
            </c:strRef>
          </c:cat>
          <c:val>
            <c:numRef>
              <c:f>Graf!$C$16:$C$20</c:f>
              <c:numCache>
                <c:formatCode>0.0</c:formatCode>
                <c:ptCount val="5"/>
                <c:pt idx="0">
                  <c:v>70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0-4C23-B021-99D24801E4E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12731711"/>
        <c:axId val="812741311"/>
      </c:barChart>
      <c:catAx>
        <c:axId val="812731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cap="all" baseline="0">
                <a:solidFill>
                  <a:schemeClr val="bg1"/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pt-BR"/>
          </a:p>
        </c:txPr>
        <c:crossAx val="812741311"/>
        <c:crosses val="autoZero"/>
        <c:auto val="1"/>
        <c:lblAlgn val="ctr"/>
        <c:lblOffset val="100"/>
        <c:noMultiLvlLbl val="0"/>
      </c:catAx>
      <c:valAx>
        <c:axId val="81274131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crossAx val="812731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CC9900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Avenir Next LT Pro" panose="020B05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144780</xdr:colOff>
          <xdr:row>1</xdr:row>
          <xdr:rowOff>68580</xdr:rowOff>
        </xdr:from>
        <xdr:to>
          <xdr:col>2</xdr:col>
          <xdr:colOff>1584960</xdr:colOff>
          <xdr:row>1</xdr:row>
          <xdr:rowOff>899160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FALTA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SEM JOGADA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1</xdr:row>
          <xdr:rowOff>68580</xdr:rowOff>
        </xdr:from>
        <xdr:to>
          <xdr:col>4</xdr:col>
          <xdr:colOff>1592580</xdr:colOff>
          <xdr:row>1</xdr:row>
          <xdr:rowOff>899160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FALTA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BEM EXECUTADA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160020</xdr:colOff>
          <xdr:row>1</xdr:row>
          <xdr:rowOff>68580</xdr:rowOff>
        </xdr:from>
        <xdr:to>
          <xdr:col>5</xdr:col>
          <xdr:colOff>1600200</xdr:colOff>
          <xdr:row>1</xdr:row>
          <xdr:rowOff>899160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FALTA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GOL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144780</xdr:colOff>
          <xdr:row>2</xdr:row>
          <xdr:rowOff>68580</xdr:rowOff>
        </xdr:from>
        <xdr:to>
          <xdr:col>2</xdr:col>
          <xdr:colOff>1584960</xdr:colOff>
          <xdr:row>2</xdr:row>
          <xdr:rowOff>899160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LAT OF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SEM JOGADA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</xdr:row>
          <xdr:rowOff>68580</xdr:rowOff>
        </xdr:from>
        <xdr:to>
          <xdr:col>4</xdr:col>
          <xdr:colOff>1592580</xdr:colOff>
          <xdr:row>2</xdr:row>
          <xdr:rowOff>899160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LAT OF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BEM EXECUTADA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160020</xdr:colOff>
          <xdr:row>2</xdr:row>
          <xdr:rowOff>68580</xdr:rowOff>
        </xdr:from>
        <xdr:to>
          <xdr:col>5</xdr:col>
          <xdr:colOff>1600200</xdr:colOff>
          <xdr:row>2</xdr:row>
          <xdr:rowOff>899160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LAT OF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GOL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144780</xdr:colOff>
          <xdr:row>3</xdr:row>
          <xdr:rowOff>68580</xdr:rowOff>
        </xdr:from>
        <xdr:to>
          <xdr:col>2</xdr:col>
          <xdr:colOff>1584960</xdr:colOff>
          <xdr:row>3</xdr:row>
          <xdr:rowOff>891540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CANTO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SEM JOGADA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</xdr:row>
          <xdr:rowOff>68580</xdr:rowOff>
        </xdr:from>
        <xdr:to>
          <xdr:col>4</xdr:col>
          <xdr:colOff>1592580</xdr:colOff>
          <xdr:row>3</xdr:row>
          <xdr:rowOff>891540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CANTO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BEM EXECUTADA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160020</xdr:colOff>
          <xdr:row>3</xdr:row>
          <xdr:rowOff>68580</xdr:rowOff>
        </xdr:from>
        <xdr:to>
          <xdr:col>5</xdr:col>
          <xdr:colOff>1600200</xdr:colOff>
          <xdr:row>3</xdr:row>
          <xdr:rowOff>891540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CANTO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GOL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68580</xdr:rowOff>
        </xdr:from>
        <xdr:to>
          <xdr:col>3</xdr:col>
          <xdr:colOff>1592580</xdr:colOff>
          <xdr:row>1</xdr:row>
          <xdr:rowOff>899160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FALTA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EXECUÇÃO RUIM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2</xdr:row>
          <xdr:rowOff>68580</xdr:rowOff>
        </xdr:from>
        <xdr:to>
          <xdr:col>3</xdr:col>
          <xdr:colOff>1592580</xdr:colOff>
          <xdr:row>2</xdr:row>
          <xdr:rowOff>899160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LAT OF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EXECUÇÃO RUIM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3</xdr:row>
          <xdr:rowOff>68580</xdr:rowOff>
        </xdr:from>
        <xdr:to>
          <xdr:col>3</xdr:col>
          <xdr:colOff>1592580</xdr:colOff>
          <xdr:row>3</xdr:row>
          <xdr:rowOff>891540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CANTO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EXECUÇÃO RUIM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144780</xdr:colOff>
          <xdr:row>4</xdr:row>
          <xdr:rowOff>76200</xdr:rowOff>
        </xdr:from>
        <xdr:to>
          <xdr:col>2</xdr:col>
          <xdr:colOff>1584960</xdr:colOff>
          <xdr:row>4</xdr:row>
          <xdr:rowOff>899160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SDP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SEM JOGADA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4</xdr:row>
          <xdr:rowOff>76200</xdr:rowOff>
        </xdr:from>
        <xdr:to>
          <xdr:col>4</xdr:col>
          <xdr:colOff>1592580</xdr:colOff>
          <xdr:row>4</xdr:row>
          <xdr:rowOff>899160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SDP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BEM EXECUTADA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160020</xdr:colOff>
          <xdr:row>4</xdr:row>
          <xdr:rowOff>76200</xdr:rowOff>
        </xdr:from>
        <xdr:to>
          <xdr:col>5</xdr:col>
          <xdr:colOff>1600200</xdr:colOff>
          <xdr:row>4</xdr:row>
          <xdr:rowOff>899160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SDP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GOL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4</xdr:row>
          <xdr:rowOff>76200</xdr:rowOff>
        </xdr:from>
        <xdr:to>
          <xdr:col>3</xdr:col>
          <xdr:colOff>1592580</xdr:colOff>
          <xdr:row>4</xdr:row>
          <xdr:rowOff>899160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SDP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EXECUÇÃO RUIM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0</xdr:row>
      <xdr:rowOff>167640</xdr:rowOff>
    </xdr:from>
    <xdr:to>
      <xdr:col>5</xdr:col>
      <xdr:colOff>297180</xdr:colOff>
      <xdr:row>4</xdr:row>
      <xdr:rowOff>129540</xdr:rowOff>
    </xdr:to>
    <xdr:sp macro="[0]!ZerarBDjogadas" textlink="">
      <xdr:nvSpPr>
        <xdr:cNvPr id="2" name="Elipse 1">
          <a:extLst>
            <a:ext uri="{FF2B5EF4-FFF2-40B4-BE49-F238E27FC236}">
              <a16:creationId xmlns:a16="http://schemas.microsoft.com/office/drawing/2014/main" id="{0DE6D776-6D3E-1359-DF5D-F239ECD44CC0}"/>
            </a:ext>
          </a:extLst>
        </xdr:cNvPr>
        <xdr:cNvSpPr/>
      </xdr:nvSpPr>
      <xdr:spPr>
        <a:xfrm>
          <a:off x="2590800" y="167640"/>
          <a:ext cx="1592580" cy="693420"/>
        </a:xfrm>
        <a:prstGeom prst="ellipse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ZERAR PLANILHA</a:t>
          </a:r>
        </a:p>
        <a:p>
          <a:pPr algn="ctr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26670</xdr:rowOff>
    </xdr:from>
    <xdr:to>
      <xdr:col>9</xdr:col>
      <xdr:colOff>342900</xdr:colOff>
      <xdr:row>8</xdr:row>
      <xdr:rowOff>144780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F3CA41D-3DE5-7B53-C20A-4DB6E8C80E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601980</xdr:colOff>
      <xdr:row>9</xdr:row>
      <xdr:rowOff>7620</xdr:rowOff>
    </xdr:from>
    <xdr:to>
      <xdr:col>9</xdr:col>
      <xdr:colOff>335280</xdr:colOff>
      <xdr:row>17</xdr:row>
      <xdr:rowOff>125730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4AA97FF-9FB2-47CD-A79D-A4DF1997D0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601980</xdr:colOff>
      <xdr:row>17</xdr:row>
      <xdr:rowOff>160020</xdr:rowOff>
    </xdr:from>
    <xdr:to>
      <xdr:col>9</xdr:col>
      <xdr:colOff>335280</xdr:colOff>
      <xdr:row>26</xdr:row>
      <xdr:rowOff>95250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DDBD571-E6E0-4FE0-B21B-108D3C8827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608907</xdr:colOff>
      <xdr:row>35</xdr:row>
      <xdr:rowOff>129541</xdr:rowOff>
    </xdr:from>
    <xdr:to>
      <xdr:col>9</xdr:col>
      <xdr:colOff>342207</xdr:colOff>
      <xdr:row>44</xdr:row>
      <xdr:rowOff>64771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BB6C4AC-785C-422F-A27F-1B972E3EE6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403860</xdr:colOff>
      <xdr:row>0</xdr:row>
      <xdr:rowOff>26670</xdr:rowOff>
    </xdr:from>
    <xdr:to>
      <xdr:col>21</xdr:col>
      <xdr:colOff>0</xdr:colOff>
      <xdr:row>17</xdr:row>
      <xdr:rowOff>137160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344A784-C773-1CC0-60BF-F23300ADF7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396240</xdr:colOff>
      <xdr:row>17</xdr:row>
      <xdr:rowOff>167640</xdr:rowOff>
    </xdr:from>
    <xdr:to>
      <xdr:col>21</xdr:col>
      <xdr:colOff>0</xdr:colOff>
      <xdr:row>35</xdr:row>
      <xdr:rowOff>53340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F65523E-A50E-4076-8DB2-B7A9CCA9EE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595745</xdr:colOff>
      <xdr:row>26</xdr:row>
      <xdr:rowOff>103910</xdr:rowOff>
    </xdr:from>
    <xdr:to>
      <xdr:col>9</xdr:col>
      <xdr:colOff>329045</xdr:colOff>
      <xdr:row>35</xdr:row>
      <xdr:rowOff>39140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F15CA0D-D69B-4AF7-8350-F70847C3E2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CCFC2-F5A7-4556-BE8F-1625A2D01647}">
  <sheetPr codeName="Planilha1"/>
  <dimension ref="A1:I16"/>
  <sheetViews>
    <sheetView zoomScale="70" zoomScaleNormal="70" workbookViewId="0">
      <selection activeCell="F4" sqref="F4"/>
    </sheetView>
  </sheetViews>
  <sheetFormatPr defaultRowHeight="56.4" customHeight="1" x14ac:dyDescent="0.3"/>
  <cols>
    <col min="1" max="1" width="8.88671875" style="1"/>
    <col min="2" max="2" width="26.44140625" style="1" customWidth="1"/>
    <col min="3" max="6" width="24.6640625" style="1" customWidth="1"/>
    <col min="7" max="7" width="8.88671875" style="2"/>
    <col min="8" max="8" width="33.6640625" style="2" customWidth="1"/>
    <col min="9" max="9" width="20.88671875" style="2" customWidth="1"/>
    <col min="10" max="16384" width="8.88671875" style="1"/>
  </cols>
  <sheetData>
    <row r="1" spans="1:9" ht="78.599999999999994" customHeight="1" x14ac:dyDescent="0.3">
      <c r="A1" s="8"/>
      <c r="B1" s="7" t="s">
        <v>0</v>
      </c>
      <c r="C1" s="6" t="s">
        <v>6</v>
      </c>
      <c r="D1" s="6" t="s">
        <v>8</v>
      </c>
      <c r="E1" s="6" t="s">
        <v>7</v>
      </c>
      <c r="F1" s="6" t="s">
        <v>2</v>
      </c>
      <c r="G1" s="18"/>
      <c r="H1" s="18"/>
      <c r="I1" s="18"/>
    </row>
    <row r="2" spans="1:9" ht="75" customHeight="1" x14ac:dyDescent="0.3">
      <c r="A2" s="8"/>
      <c r="B2" s="6" t="s">
        <v>9</v>
      </c>
      <c r="C2" s="5"/>
      <c r="D2" s="5"/>
      <c r="E2" s="5"/>
      <c r="F2" s="5"/>
    </row>
    <row r="3" spans="1:9" ht="75" customHeight="1" x14ac:dyDescent="0.3">
      <c r="A3" s="8"/>
      <c r="B3" s="6" t="s">
        <v>5</v>
      </c>
      <c r="C3" s="5"/>
      <c r="D3" s="5"/>
      <c r="E3" s="5"/>
      <c r="F3" s="5"/>
    </row>
    <row r="4" spans="1:9" ht="75" customHeight="1" x14ac:dyDescent="0.3">
      <c r="A4" s="8"/>
      <c r="B4" s="6" t="s">
        <v>10</v>
      </c>
      <c r="C4" s="5"/>
      <c r="D4" s="5"/>
      <c r="E4" s="5"/>
      <c r="F4" s="5"/>
    </row>
    <row r="5" spans="1:9" ht="75" customHeight="1" x14ac:dyDescent="0.3">
      <c r="A5" s="8"/>
      <c r="B5" s="6" t="s">
        <v>1</v>
      </c>
      <c r="C5" s="5"/>
      <c r="D5" s="5"/>
      <c r="E5" s="5"/>
      <c r="F5" s="5"/>
    </row>
    <row r="6" spans="1:9" ht="56.4" customHeight="1" x14ac:dyDescent="0.3">
      <c r="A6" s="8"/>
      <c r="B6" s="8"/>
      <c r="C6" s="8"/>
      <c r="D6" s="8"/>
      <c r="E6" s="8"/>
      <c r="F6" s="8"/>
    </row>
    <row r="10" spans="1:9" ht="56.4" customHeight="1" x14ac:dyDescent="0.3">
      <c r="C10" s="2"/>
      <c r="D10" s="2"/>
      <c r="E10" s="2"/>
    </row>
    <row r="11" spans="1:9" ht="56.4" customHeight="1" x14ac:dyDescent="0.3">
      <c r="C11" s="2"/>
      <c r="D11" s="2"/>
      <c r="E11" s="2"/>
    </row>
    <row r="12" spans="1:9" ht="56.4" customHeight="1" x14ac:dyDescent="0.3">
      <c r="C12" s="2"/>
      <c r="D12" s="2"/>
      <c r="E12" s="2"/>
    </row>
    <row r="13" spans="1:9" ht="56.4" customHeight="1" x14ac:dyDescent="0.3">
      <c r="C13" s="2"/>
      <c r="D13" s="2"/>
      <c r="E13" s="2"/>
    </row>
    <row r="14" spans="1:9" ht="56.4" customHeight="1" x14ac:dyDescent="0.3">
      <c r="C14" s="2"/>
      <c r="D14" s="2"/>
      <c r="E14" s="2"/>
    </row>
    <row r="15" spans="1:9" ht="56.4" customHeight="1" x14ac:dyDescent="0.3">
      <c r="C15" s="2"/>
      <c r="D15" s="2"/>
      <c r="E15" s="2"/>
    </row>
    <row r="16" spans="1:9" ht="56.4" customHeight="1" x14ac:dyDescent="0.3">
      <c r="C16" s="2"/>
      <c r="D16" s="2"/>
      <c r="E16" s="2"/>
    </row>
  </sheetData>
  <mergeCells count="1">
    <mergeCell ref="G1:I1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Botao_Falta_SemJogada">
                <anchor moveWithCells="1" sizeWithCells="1">
                  <from>
                    <xdr:col>2</xdr:col>
                    <xdr:colOff>144780</xdr:colOff>
                    <xdr:row>1</xdr:row>
                    <xdr:rowOff>68580</xdr:rowOff>
                  </from>
                  <to>
                    <xdr:col>2</xdr:col>
                    <xdr:colOff>1584960</xdr:colOff>
                    <xdr:row>1</xdr:row>
                    <xdr:rowOff>899160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Botao_Falta_BemExecutada">
                <anchor moveWithCells="1" sizeWithCells="1">
                  <from>
                    <xdr:col>4</xdr:col>
                    <xdr:colOff>152400</xdr:colOff>
                    <xdr:row>1</xdr:row>
                    <xdr:rowOff>68580</xdr:rowOff>
                  </from>
                  <to>
                    <xdr:col>4</xdr:col>
                    <xdr:colOff>1592580</xdr:colOff>
                    <xdr:row>1</xdr:row>
                    <xdr:rowOff>899160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Botao_Falta_Gol">
                <anchor moveWithCells="1" sizeWithCells="1">
                  <from>
                    <xdr:col>5</xdr:col>
                    <xdr:colOff>160020</xdr:colOff>
                    <xdr:row>1</xdr:row>
                    <xdr:rowOff>68580</xdr:rowOff>
                  </from>
                  <to>
                    <xdr:col>5</xdr:col>
                    <xdr:colOff>1600200</xdr:colOff>
                    <xdr:row>1</xdr:row>
                    <xdr:rowOff>899160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Botao_LatOf_SemJogada">
                <anchor moveWithCells="1" sizeWithCells="1">
                  <from>
                    <xdr:col>2</xdr:col>
                    <xdr:colOff>144780</xdr:colOff>
                    <xdr:row>2</xdr:row>
                    <xdr:rowOff>68580</xdr:rowOff>
                  </from>
                  <to>
                    <xdr:col>2</xdr:col>
                    <xdr:colOff>1584960</xdr:colOff>
                    <xdr:row>2</xdr:row>
                    <xdr:rowOff>899160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Botao_LatOf_BemExecutada">
                <anchor moveWithCells="1" sizeWithCells="1">
                  <from>
                    <xdr:col>4</xdr:col>
                    <xdr:colOff>152400</xdr:colOff>
                    <xdr:row>2</xdr:row>
                    <xdr:rowOff>68580</xdr:rowOff>
                  </from>
                  <to>
                    <xdr:col>4</xdr:col>
                    <xdr:colOff>1592580</xdr:colOff>
                    <xdr:row>2</xdr:row>
                    <xdr:rowOff>899160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0]!Botao_LatOf_Gol">
                <anchor moveWithCells="1" sizeWithCells="1">
                  <from>
                    <xdr:col>5</xdr:col>
                    <xdr:colOff>160020</xdr:colOff>
                    <xdr:row>2</xdr:row>
                    <xdr:rowOff>68580</xdr:rowOff>
                  </from>
                  <to>
                    <xdr:col>5</xdr:col>
                    <xdr:colOff>1600200</xdr:colOff>
                    <xdr:row>2</xdr:row>
                    <xdr:rowOff>899160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Botao_Canto_SemJogada">
                <anchor moveWithCells="1" sizeWithCells="1">
                  <from>
                    <xdr:col>2</xdr:col>
                    <xdr:colOff>144780</xdr:colOff>
                    <xdr:row>3</xdr:row>
                    <xdr:rowOff>68580</xdr:rowOff>
                  </from>
                  <to>
                    <xdr:col>2</xdr:col>
                    <xdr:colOff>1584960</xdr:colOff>
                    <xdr:row>3</xdr:row>
                    <xdr:rowOff>891540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Botao_Canto_BemExecutada">
                <anchor moveWithCells="1" sizeWithCells="1">
                  <from>
                    <xdr:col>4</xdr:col>
                    <xdr:colOff>152400</xdr:colOff>
                    <xdr:row>3</xdr:row>
                    <xdr:rowOff>68580</xdr:rowOff>
                  </from>
                  <to>
                    <xdr:col>4</xdr:col>
                    <xdr:colOff>1592580</xdr:colOff>
                    <xdr:row>3</xdr:row>
                    <xdr:rowOff>891540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0]!Botao_Canto_Gol">
                <anchor moveWithCells="1" sizeWithCells="1">
                  <from>
                    <xdr:col>5</xdr:col>
                    <xdr:colOff>160020</xdr:colOff>
                    <xdr:row>3</xdr:row>
                    <xdr:rowOff>68580</xdr:rowOff>
                  </from>
                  <to>
                    <xdr:col>5</xdr:col>
                    <xdr:colOff>1600200</xdr:colOff>
                    <xdr:row>3</xdr:row>
                    <xdr:rowOff>891540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otao_Falta_ExecucaoRuim">
                <anchor moveWithCells="1" sizeWithCells="1">
                  <from>
                    <xdr:col>3</xdr:col>
                    <xdr:colOff>152400</xdr:colOff>
                    <xdr:row>1</xdr:row>
                    <xdr:rowOff>68580</xdr:rowOff>
                  </from>
                  <to>
                    <xdr:col>3</xdr:col>
                    <xdr:colOff>1592580</xdr:colOff>
                    <xdr:row>1</xdr:row>
                    <xdr:rowOff>899160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otao_LatOf_ExecucaoRuim">
                <anchor moveWithCells="1" sizeWithCells="1">
                  <from>
                    <xdr:col>3</xdr:col>
                    <xdr:colOff>152400</xdr:colOff>
                    <xdr:row>2</xdr:row>
                    <xdr:rowOff>68580</xdr:rowOff>
                  </from>
                  <to>
                    <xdr:col>3</xdr:col>
                    <xdr:colOff>1592580</xdr:colOff>
                    <xdr:row>2</xdr:row>
                    <xdr:rowOff>899160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5" name="Button 30">
              <controlPr defaultSize="0" print="0" autoFill="0" autoPict="0" macro="[0]!Botao_Canto_ExecucaoRuim">
                <anchor moveWithCells="1" sizeWithCells="1">
                  <from>
                    <xdr:col>3</xdr:col>
                    <xdr:colOff>152400</xdr:colOff>
                    <xdr:row>3</xdr:row>
                    <xdr:rowOff>68580</xdr:rowOff>
                  </from>
                  <to>
                    <xdr:col>3</xdr:col>
                    <xdr:colOff>1592580</xdr:colOff>
                    <xdr:row>3</xdr:row>
                    <xdr:rowOff>891540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6" name="Button 31">
              <controlPr defaultSize="0" print="0" autoFill="0" autoPict="0" macro="[0]!Botao_SDP_SemJogada">
                <anchor moveWithCells="1" sizeWithCells="1">
                  <from>
                    <xdr:col>2</xdr:col>
                    <xdr:colOff>144780</xdr:colOff>
                    <xdr:row>4</xdr:row>
                    <xdr:rowOff>76200</xdr:rowOff>
                  </from>
                  <to>
                    <xdr:col>2</xdr:col>
                    <xdr:colOff>1584960</xdr:colOff>
                    <xdr:row>4</xdr:row>
                    <xdr:rowOff>899160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7" name="Button 32">
              <controlPr defaultSize="0" print="0" autoFill="0" autoPict="0" macro="[0]!Botao_SDP_BemExecutada">
                <anchor moveWithCells="1" sizeWithCells="1">
                  <from>
                    <xdr:col>4</xdr:col>
                    <xdr:colOff>152400</xdr:colOff>
                    <xdr:row>4</xdr:row>
                    <xdr:rowOff>76200</xdr:rowOff>
                  </from>
                  <to>
                    <xdr:col>4</xdr:col>
                    <xdr:colOff>1592580</xdr:colOff>
                    <xdr:row>4</xdr:row>
                    <xdr:rowOff>899160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8" name="Button 33">
              <controlPr defaultSize="0" print="0" autoFill="0" autoPict="0" macro="[0]!Botao_SDP_Gol">
                <anchor moveWithCells="1" sizeWithCells="1">
                  <from>
                    <xdr:col>5</xdr:col>
                    <xdr:colOff>160020</xdr:colOff>
                    <xdr:row>4</xdr:row>
                    <xdr:rowOff>76200</xdr:rowOff>
                  </from>
                  <to>
                    <xdr:col>5</xdr:col>
                    <xdr:colOff>1600200</xdr:colOff>
                    <xdr:row>4</xdr:row>
                    <xdr:rowOff>899160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9" name="Button 34">
              <controlPr defaultSize="0" print="0" autoFill="0" autoPict="0" macro="[0]!Botao_SDP_ExecucaoRuim">
                <anchor moveWithCells="1" sizeWithCells="1">
                  <from>
                    <xdr:col>3</xdr:col>
                    <xdr:colOff>152400</xdr:colOff>
                    <xdr:row>4</xdr:row>
                    <xdr:rowOff>76200</xdr:rowOff>
                  </from>
                  <to>
                    <xdr:col>3</xdr:col>
                    <xdr:colOff>1592580</xdr:colOff>
                    <xdr:row>4</xdr:row>
                    <xdr:rowOff>899160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69963-BD8F-46A7-8229-AEAA19A856F2}">
  <sheetPr codeName="Planilha5"/>
  <dimension ref="A2:J17"/>
  <sheetViews>
    <sheetView tabSelected="1" workbookViewId="0">
      <selection activeCell="J1" sqref="J1:J17"/>
    </sheetView>
  </sheetViews>
  <sheetFormatPr defaultRowHeight="14.4" x14ac:dyDescent="0.3"/>
  <cols>
    <col min="1" max="1" width="21.109375" bestFit="1" customWidth="1"/>
    <col min="7" max="7" width="31.44140625" bestFit="1" customWidth="1"/>
  </cols>
  <sheetData>
    <row r="2" spans="1:10" x14ac:dyDescent="0.3">
      <c r="A2" t="s">
        <v>14</v>
      </c>
      <c r="B2" s="9"/>
      <c r="G2" t="s">
        <v>14</v>
      </c>
      <c r="H2">
        <f t="shared" ref="H2:H17" si="0">COUNTIF(A:A, G2)</f>
        <v>1</v>
      </c>
      <c r="J2">
        <f>((H4*3)+(H5*4))/((H2*2) + (H3*1) + (H4*3) + (H5*4))*100</f>
        <v>70</v>
      </c>
    </row>
    <row r="3" spans="1:10" x14ac:dyDescent="0.3">
      <c r="A3" t="s">
        <v>15</v>
      </c>
      <c r="G3" t="s">
        <v>15</v>
      </c>
      <c r="H3">
        <f t="shared" si="0"/>
        <v>1</v>
      </c>
    </row>
    <row r="4" spans="1:10" x14ac:dyDescent="0.3">
      <c r="A4" t="s">
        <v>21</v>
      </c>
      <c r="G4" t="s">
        <v>21</v>
      </c>
      <c r="H4">
        <f t="shared" si="0"/>
        <v>1</v>
      </c>
    </row>
    <row r="5" spans="1:10" x14ac:dyDescent="0.3">
      <c r="A5" t="s">
        <v>24</v>
      </c>
      <c r="G5" t="s">
        <v>24</v>
      </c>
      <c r="H5">
        <f t="shared" si="0"/>
        <v>1</v>
      </c>
    </row>
    <row r="6" spans="1:10" x14ac:dyDescent="0.3">
      <c r="A6" t="s">
        <v>28</v>
      </c>
      <c r="G6" t="s">
        <v>29</v>
      </c>
      <c r="H6">
        <f t="shared" si="0"/>
        <v>1</v>
      </c>
      <c r="J6">
        <f>((H8*3)+(H9*4))/((H6*2) + (H7*1) + (H8*3) + (H9*4))*100</f>
        <v>70</v>
      </c>
    </row>
    <row r="7" spans="1:10" x14ac:dyDescent="0.3">
      <c r="A7" t="s">
        <v>25</v>
      </c>
      <c r="G7" t="s">
        <v>27</v>
      </c>
      <c r="H7">
        <f t="shared" si="0"/>
        <v>1</v>
      </c>
    </row>
    <row r="8" spans="1:10" x14ac:dyDescent="0.3">
      <c r="A8" t="s">
        <v>18</v>
      </c>
      <c r="G8" t="s">
        <v>26</v>
      </c>
      <c r="H8">
        <f t="shared" si="0"/>
        <v>1</v>
      </c>
    </row>
    <row r="9" spans="1:10" x14ac:dyDescent="0.3">
      <c r="A9" t="s">
        <v>23</v>
      </c>
      <c r="G9" t="s">
        <v>28</v>
      </c>
      <c r="H9">
        <f t="shared" si="0"/>
        <v>1</v>
      </c>
    </row>
    <row r="10" spans="1:10" x14ac:dyDescent="0.3">
      <c r="A10" t="s">
        <v>22</v>
      </c>
      <c r="G10" t="s">
        <v>19</v>
      </c>
      <c r="H10">
        <f t="shared" si="0"/>
        <v>1</v>
      </c>
      <c r="J10">
        <f>((H12*3)+(H13*4))/((H10*2) + (H11*1) + (H12*3) + (H13*4))*100</f>
        <v>70</v>
      </c>
    </row>
    <row r="11" spans="1:10" x14ac:dyDescent="0.3">
      <c r="A11" t="s">
        <v>26</v>
      </c>
      <c r="G11" t="s">
        <v>16</v>
      </c>
      <c r="H11">
        <f t="shared" si="0"/>
        <v>1</v>
      </c>
    </row>
    <row r="12" spans="1:10" x14ac:dyDescent="0.3">
      <c r="A12" t="s">
        <v>27</v>
      </c>
      <c r="G12" t="s">
        <v>22</v>
      </c>
      <c r="H12">
        <f t="shared" si="0"/>
        <v>1</v>
      </c>
    </row>
    <row r="13" spans="1:10" x14ac:dyDescent="0.3">
      <c r="A13" t="s">
        <v>16</v>
      </c>
      <c r="G13" t="s">
        <v>25</v>
      </c>
      <c r="H13">
        <f t="shared" si="0"/>
        <v>1</v>
      </c>
    </row>
    <row r="14" spans="1:10" x14ac:dyDescent="0.3">
      <c r="A14" t="s">
        <v>17</v>
      </c>
      <c r="G14" t="s">
        <v>20</v>
      </c>
      <c r="H14">
        <f t="shared" si="0"/>
        <v>1</v>
      </c>
      <c r="J14">
        <f>((H16*3)+(H17*4))/((H14*2) + (H15*1) + (H16*3) + (H17*4))*100</f>
        <v>70</v>
      </c>
    </row>
    <row r="15" spans="1:10" x14ac:dyDescent="0.3">
      <c r="A15" t="s">
        <v>20</v>
      </c>
      <c r="G15" t="s">
        <v>17</v>
      </c>
      <c r="H15">
        <f t="shared" si="0"/>
        <v>1</v>
      </c>
    </row>
    <row r="16" spans="1:10" x14ac:dyDescent="0.3">
      <c r="A16" t="s">
        <v>19</v>
      </c>
      <c r="G16" t="s">
        <v>23</v>
      </c>
      <c r="H16">
        <f>COUNTIF(A:A, G16)</f>
        <v>1</v>
      </c>
    </row>
    <row r="17" spans="1:8" x14ac:dyDescent="0.3">
      <c r="A17" t="s">
        <v>29</v>
      </c>
      <c r="G17" t="s">
        <v>18</v>
      </c>
      <c r="H17">
        <f t="shared" si="0"/>
        <v>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E26FD-3157-4EBA-BBAD-6CF08452DE2E}">
  <sheetPr codeName="Planilha4"/>
  <dimension ref="A1:N42"/>
  <sheetViews>
    <sheetView topLeftCell="A7" zoomScaleNormal="100" workbookViewId="0">
      <selection activeCell="C17" sqref="C17"/>
    </sheetView>
  </sheetViews>
  <sheetFormatPr defaultRowHeight="14.4" x14ac:dyDescent="0.3"/>
  <cols>
    <col min="1" max="1" width="23.44140625" style="2" customWidth="1"/>
    <col min="2" max="2" width="26" style="2" customWidth="1"/>
    <col min="3" max="3" width="8.88671875" style="2"/>
    <col min="4" max="16384" width="8.88671875" style="3"/>
  </cols>
  <sheetData>
    <row r="1" spans="1:14" x14ac:dyDescent="0.3">
      <c r="A1" s="19" t="s">
        <v>9</v>
      </c>
      <c r="B1" s="10" t="s">
        <v>3</v>
      </c>
      <c r="C1" s="11">
        <f>BDjogadas!J2</f>
        <v>70</v>
      </c>
    </row>
    <row r="2" spans="1:14" x14ac:dyDescent="0.3">
      <c r="A2" s="19"/>
      <c r="B2" s="10" t="s">
        <v>6</v>
      </c>
      <c r="C2" s="11">
        <f>COUNTIF(BDjogadas!A:A,"FALTA SEM JOGADA")/(COUNTIF(BDjogadas!A:A,"FALTA SEM JOGADA") + COUNTIF(BDjogadas!A:A,"FALTA EXECUÇÃO RUIM") + COUNTIF(BDjogadas!A:A,"FALTA BEM EXECUTADA") + COUNTIF(BDjogadas!A:A,"FALTA GOL"))*100</f>
        <v>25</v>
      </c>
    </row>
    <row r="3" spans="1:14" x14ac:dyDescent="0.3">
      <c r="A3" s="19"/>
      <c r="B3" s="10" t="s">
        <v>13</v>
      </c>
      <c r="C3" s="11">
        <f>COUNTIF(BDjogadas!A:A,"FALTA EXECUÇÃO RUIM")/(COUNTIF(BDjogadas!A:A,"FALTA SEM JOGADA") + COUNTIF(BDjogadas!A:A,"FALTA EXECUÇÃO RUIM") + COUNTIF(BDjogadas!A:A,"FALTA BEM EXECUTADA") + COUNTIF(BDjogadas!A:A,"FALTA GOL"))*100</f>
        <v>25</v>
      </c>
    </row>
    <row r="4" spans="1:14" x14ac:dyDescent="0.3">
      <c r="A4" s="19"/>
      <c r="B4" s="10" t="s">
        <v>11</v>
      </c>
      <c r="C4" s="11">
        <f>COUNTIF(BDjogadas!A:A,"FALTA BEM EXECUTADA")/(COUNTIF(BDjogadas!A:A,"FALTA SEM JOGADA") + COUNTIF(BDjogadas!A:A,"FALTA EXECUÇÃO RUIM") + COUNTIF(BDjogadas!A:A,"FALTA BEM EXECUTADA") + COUNTIF(BDjogadas!A:A,"FALTA GOL"))*100</f>
        <v>25</v>
      </c>
    </row>
    <row r="5" spans="1:14" x14ac:dyDescent="0.3">
      <c r="A5" s="19"/>
      <c r="B5" s="10" t="s">
        <v>2</v>
      </c>
      <c r="C5" s="11">
        <f>COUNTIF(BDjogadas!A:A,"FALTA GOL")/(COUNTIF(BDjogadas!A:A,"FALTA SEM JOGADA") + COUNTIF(BDjogadas!A:A,"FALTA EXECUÇÃO RUIM") + COUNTIF(BDjogadas!A:A,"FALTA BEM EXECUTADA") + COUNTIF(BDjogadas!A:A,"FALTA GOL"))*100</f>
        <v>25</v>
      </c>
    </row>
    <row r="6" spans="1:14" x14ac:dyDescent="0.3">
      <c r="A6" s="20" t="s">
        <v>5</v>
      </c>
      <c r="B6" s="12" t="s">
        <v>3</v>
      </c>
      <c r="C6" s="13">
        <f>BDjogadas!J6</f>
        <v>70</v>
      </c>
      <c r="J6" s="3">
        <f>IF(($L$7+$M$8+$N$9)=0, 0, $N$9/($L$7+$M$8+$N$9)*100)</f>
        <v>33.333333333333329</v>
      </c>
      <c r="K6" s="3">
        <f>COUNTIF(BDjogadas!A:A,"FALTA SEM JOGADA")</f>
        <v>1</v>
      </c>
    </row>
    <row r="7" spans="1:14" x14ac:dyDescent="0.3">
      <c r="A7" s="20"/>
      <c r="B7" s="12" t="s">
        <v>6</v>
      </c>
      <c r="C7" s="13">
        <f>COUNTIF(BDjogadas!A:A,"LATERAL OFENSIVO SEM JOGADA")/(COUNTIF(BDjogadas!A:A,"LATERAL OFENSIVO SEM JOGADA") + COUNTIF(BDjogadas!A:A,"LATERAL OFENSIVO EXECUÇÃO RUIM") + COUNTIF(BDjogadas!A:A,"LATERAL OFENSIVO BEM EXECUTADA") + COUNTIF(BDjogadas!A:A,"LATERAL OFENSIVO GOL"))*100</f>
        <v>25</v>
      </c>
      <c r="L7" s="3">
        <f>COUNTIF(BDjogadas!A:A,"FALTA EXECUÇÃO RUIM")</f>
        <v>1</v>
      </c>
    </row>
    <row r="8" spans="1:14" x14ac:dyDescent="0.3">
      <c r="A8" s="20"/>
      <c r="B8" s="12" t="s">
        <v>13</v>
      </c>
      <c r="C8" s="13">
        <f>COUNTIF(BDjogadas!A:A,"LATERAL OFENSIVO EXECUÇÃO RUIM")/(COUNTIF(BDjogadas!A:A,"LATERAL OFENSIVO SEM JOGADA") + COUNTIF(BDjogadas!A:A,"LATERAL OFENSIVO EXECUÇÃO RUIM") + COUNTIF(BDjogadas!A:A,"LATERAL OFENSIVO BEM EXECUTADA") + COUNTIF(BDjogadas!A:A,"LATERAL OFENSIVO GOL"))*100</f>
        <v>25</v>
      </c>
      <c r="M8" s="3">
        <f>COUNTIF(BDjogadas!A:A,"FALTA BEM EXECUTADA")</f>
        <v>1</v>
      </c>
    </row>
    <row r="9" spans="1:14" x14ac:dyDescent="0.3">
      <c r="A9" s="20"/>
      <c r="B9" s="12" t="s">
        <v>11</v>
      </c>
      <c r="C9" s="13">
        <f>COUNTIF(BDjogadas!A:A,"LATERAL OFENSIVO BEM EXECUTADA")/(COUNTIF(BDjogadas!A:A,"LATERAL OFENSIVO SEM JOGADA") + COUNTIF(BDjogadas!A:A,"LATERAL OFENSIVO EXECUÇÃO RUIM") + COUNTIF(BDjogadas!A:A,"LATERAL OFENSIVO BEM EXECUTADA") + COUNTIF(BDjogadas!A:A,"LATERAL OFENSIVO GOL"))*100</f>
        <v>25</v>
      </c>
      <c r="N9" s="3">
        <f>COUNTIF(BDjogadas!A:A,"FALTA GOL")</f>
        <v>1</v>
      </c>
    </row>
    <row r="10" spans="1:14" x14ac:dyDescent="0.3">
      <c r="A10" s="20"/>
      <c r="B10" s="12" t="s">
        <v>2</v>
      </c>
      <c r="C10" s="13">
        <f>COUNTIF(BDjogadas!A:A,"LATERAL OFENSIVO GOL")/(COUNTIF(BDjogadas!A:A,"LATERAL OFENSIVO SEM JOGADA") + COUNTIF(BDjogadas!A:A,"LATERAL OFENSIVO EXECUÇÃO RUIM") + COUNTIF(BDjogadas!A:A,"LATERAL OFENSIVO BEM EXECUTADA") + COUNTIF(BDjogadas!A:A,"LATERAL OFENSIVO GOL"))*100</f>
        <v>25</v>
      </c>
    </row>
    <row r="11" spans="1:14" x14ac:dyDescent="0.3">
      <c r="A11" s="21" t="s">
        <v>10</v>
      </c>
      <c r="B11" s="14" t="s">
        <v>3</v>
      </c>
      <c r="C11" s="15">
        <f>BDjogadas!J10</f>
        <v>70</v>
      </c>
    </row>
    <row r="12" spans="1:14" x14ac:dyDescent="0.3">
      <c r="A12" s="21"/>
      <c r="B12" s="14" t="s">
        <v>6</v>
      </c>
      <c r="C12" s="15">
        <f>COUNTIF(BDjogadas!A:A,"CANTO SEM JOGADA")/(COUNTIF(BDjogadas!A:A,"CANTO SEM JOGADA") + COUNTIF(BDjogadas!A:A,"CANTO EXECUÇÃO RUIM") + COUNTIF(BDjogadas!A:A,"CANTO BEM EXECUTADA") + COUNTIF(BDjogadas!A:A,"CANTO GOL"))*100</f>
        <v>25</v>
      </c>
      <c r="J12" s="3">
        <f>IF(($L$13+$M$14+$N$15)=0, 0, $N$15/($L$13+$M$14+$N$15)*100)</f>
        <v>33.333333333333329</v>
      </c>
      <c r="K12" s="3">
        <f>COUNTIF(BDjogadas!A:A,"LATERAL OFENSIVO SEM JOGADA")</f>
        <v>1</v>
      </c>
    </row>
    <row r="13" spans="1:14" x14ac:dyDescent="0.3">
      <c r="A13" s="21"/>
      <c r="B13" s="14" t="s">
        <v>13</v>
      </c>
      <c r="C13" s="15">
        <f>COUNTIF(BDjogadas!A:A,"CANTO EXECUÇÃO RUIM")/(COUNTIF(BDjogadas!A:A,"CANTO SEM JOGADA") + COUNTIF(BDjogadas!A:A,"CANTO EXECUÇÃO RUIM") + COUNTIF(BDjogadas!A:A,"CANTO BEM EXECUTADA") + COUNTIF(BDjogadas!A:A,"CANTO GOL"))*100</f>
        <v>25</v>
      </c>
      <c r="L13" s="3">
        <f>COUNTIF(BDjogadas!A:A,"LATERAL OFENSIVO EXECUÇÃO RUIM")</f>
        <v>1</v>
      </c>
    </row>
    <row r="14" spans="1:14" x14ac:dyDescent="0.3">
      <c r="A14" s="21"/>
      <c r="B14" s="14" t="s">
        <v>11</v>
      </c>
      <c r="C14" s="15">
        <f>COUNTIF(BDjogadas!A:A,"CANTO BEM EXECUTADA")/(COUNTIF(BDjogadas!A:A,"CANTO SEM JOGADA") + COUNTIF(BDjogadas!A:A,"CANTO EXECUÇÃO RUIM") + COUNTIF(BDjogadas!A:A,"CANTO BEM EXECUTADA") + COUNTIF(BDjogadas!A:A,"CANTO GOL"))*100</f>
        <v>25</v>
      </c>
      <c r="M14" s="3">
        <f>COUNTIF(BDjogadas!A:A,"LATERAL OFENSIVO BEM EXECUTADA")</f>
        <v>1</v>
      </c>
    </row>
    <row r="15" spans="1:14" x14ac:dyDescent="0.3">
      <c r="A15" s="21"/>
      <c r="B15" s="14" t="s">
        <v>2</v>
      </c>
      <c r="C15" s="15">
        <f>COUNTIF(BDjogadas!A:A,"CANTO GOL")/(COUNTIF(BDjogadas!A:A,"CANTO SEM JOGADA") + COUNTIF(BDjogadas!A:A,"CANTO EXECUÇÃO RUIM") + COUNTIF(BDjogadas!A:A,"CANTO BEM EXECUTADA") + COUNTIF(BDjogadas!A:A,"CANTO GOL"))*100</f>
        <v>25</v>
      </c>
      <c r="N15" s="3">
        <f>COUNTIF(BDjogadas!A:A,"LATERAL OFENSIVO GOL")</f>
        <v>1</v>
      </c>
    </row>
    <row r="16" spans="1:14" x14ac:dyDescent="0.3">
      <c r="A16" s="22" t="s">
        <v>1</v>
      </c>
      <c r="B16" s="16" t="s">
        <v>3</v>
      </c>
      <c r="C16" s="17">
        <f>BDjogadas!J14</f>
        <v>70</v>
      </c>
    </row>
    <row r="17" spans="1:14" x14ac:dyDescent="0.3">
      <c r="A17" s="22"/>
      <c r="B17" s="16" t="s">
        <v>6</v>
      </c>
      <c r="C17" s="17">
        <f>COUNTIF(BDjogadas!A:A,"SDP SEM JOGADA")/(COUNTIF(BDjogadas!A:A,"SDP SEM JOGADA") + COUNTIF(BDjogadas!A:A,"SDP EXECUÇÃO RUIM") + COUNTIF(BDjogadas!A:A,"SDP BEM EXECUTADA") + COUNTIF(BDjogadas!A:A,"SDP GOL"))*100</f>
        <v>25</v>
      </c>
    </row>
    <row r="18" spans="1:14" x14ac:dyDescent="0.3">
      <c r="A18" s="22"/>
      <c r="B18" s="16" t="s">
        <v>13</v>
      </c>
      <c r="C18" s="17">
        <f>COUNTIF(BDjogadas!A:A,"SDP EXECUÇÃO RUIM")/(COUNTIF(BDjogadas!A:A,"SDP SEM JOGADA") + COUNTIF(BDjogadas!A:A,"SDP EXECUÇÃO RUIM") + COUNTIF(BDjogadas!A:A,"SDP BEM EXECUTADA") + COUNTIF(BDjogadas!A:A,"SDP GOL"))*100</f>
        <v>25</v>
      </c>
      <c r="J18" s="3">
        <f>IF(($L$19+$M$20+$N$21)=0, 0, $N$21/($L$19+$M$20+$N$21)*100)</f>
        <v>33.333333333333329</v>
      </c>
      <c r="K18" s="3">
        <f>COUNTIF(BDjogadas!A:A,"CANTO SEM JOGADA")</f>
        <v>1</v>
      </c>
    </row>
    <row r="19" spans="1:14" x14ac:dyDescent="0.3">
      <c r="A19" s="22"/>
      <c r="B19" s="16" t="s">
        <v>11</v>
      </c>
      <c r="C19" s="17">
        <f>COUNTIF(BDjogadas!A:A,"SDP BEM EXECUTADA")/(COUNTIF(BDjogadas!A:A,"SDP SEM JOGADA") + COUNTIF(BDjogadas!A:A,"SDP EXECUÇÃO RUIM") + COUNTIF(BDjogadas!A:A,"SDP BEM EXECUTADA") + COUNTIF(BDjogadas!A:A,"SDP GOL"))*100</f>
        <v>25</v>
      </c>
      <c r="L19" s="3">
        <f>COUNTIF(BDjogadas!A:A,"CANTO EXECUÇÃO RUIM")</f>
        <v>1</v>
      </c>
    </row>
    <row r="20" spans="1:14" x14ac:dyDescent="0.3">
      <c r="A20" s="22"/>
      <c r="B20" s="16" t="s">
        <v>2</v>
      </c>
      <c r="C20" s="17">
        <f>COUNTIF(BDjogadas!A:A,"SDP GOL")/(COUNTIF(BDjogadas!A:A,"SDP SEM JOGADA") + COUNTIF(BDjogadas!A:A,"SDP EXECUÇÃO RUIM") + COUNTIF(BDjogadas!A:A,"SDP BEM EXECUTADA") + COUNTIF(BDjogadas!A:A,"SDP GOL"))*100</f>
        <v>25</v>
      </c>
      <c r="M20" s="3">
        <f>COUNTIF(BDjogadas!A:A,"CANTO BEM EXECUTADA")</f>
        <v>1</v>
      </c>
    </row>
    <row r="21" spans="1:14" x14ac:dyDescent="0.3">
      <c r="N21" s="3">
        <f>COUNTIF(BDjogadas!A:A,"CANTO GOL")</f>
        <v>1</v>
      </c>
    </row>
    <row r="23" spans="1:14" x14ac:dyDescent="0.3">
      <c r="A23" s="18" t="s">
        <v>4</v>
      </c>
      <c r="B23" s="2" t="s">
        <v>9</v>
      </c>
      <c r="C23" s="4">
        <f>C1</f>
        <v>70</v>
      </c>
    </row>
    <row r="24" spans="1:14" x14ac:dyDescent="0.3">
      <c r="A24" s="18"/>
      <c r="B24" s="2" t="s">
        <v>5</v>
      </c>
      <c r="C24" s="4">
        <f>C6</f>
        <v>70</v>
      </c>
      <c r="J24" s="3">
        <f>IF(($L$25+$M$26+$N$27)=0, 0, $N$27/($L$25+$M$26+$N$27)*100)</f>
        <v>33.333333333333329</v>
      </c>
      <c r="K24" s="3">
        <f>COUNTIF(BDjogadas!A:A,"SDP SEM JOGADA")</f>
        <v>1</v>
      </c>
    </row>
    <row r="25" spans="1:14" x14ac:dyDescent="0.3">
      <c r="A25" s="18"/>
      <c r="B25" s="2" t="s">
        <v>10</v>
      </c>
      <c r="C25" s="4">
        <f>C11</f>
        <v>70</v>
      </c>
      <c r="L25" s="3">
        <f>COUNTIF(BDjogadas!A:A,"SDP EXECUÇÃO RUIM")</f>
        <v>1</v>
      </c>
    </row>
    <row r="26" spans="1:14" x14ac:dyDescent="0.3">
      <c r="A26" s="18"/>
      <c r="B26" s="2" t="s">
        <v>1</v>
      </c>
      <c r="C26" s="4">
        <f>C16</f>
        <v>70</v>
      </c>
      <c r="M26" s="3">
        <f>COUNTIF(BDjogadas!A:A,"SDP BEM EXECUTADA")</f>
        <v>1</v>
      </c>
    </row>
    <row r="27" spans="1:14" x14ac:dyDescent="0.3">
      <c r="A27" s="18" t="s">
        <v>6</v>
      </c>
      <c r="B27" s="2" t="s">
        <v>9</v>
      </c>
      <c r="C27" s="4">
        <f>C2</f>
        <v>25</v>
      </c>
      <c r="N27" s="3">
        <f>COUNTIF(BDjogadas!A:A,"SDP GOL")</f>
        <v>1</v>
      </c>
    </row>
    <row r="28" spans="1:14" x14ac:dyDescent="0.3">
      <c r="A28" s="18"/>
      <c r="B28" s="2" t="s">
        <v>5</v>
      </c>
      <c r="C28" s="4">
        <f>C7</f>
        <v>25</v>
      </c>
    </row>
    <row r="29" spans="1:14" x14ac:dyDescent="0.3">
      <c r="A29" s="18"/>
      <c r="B29" s="2" t="s">
        <v>10</v>
      </c>
      <c r="C29" s="4">
        <f>C12</f>
        <v>25</v>
      </c>
    </row>
    <row r="30" spans="1:14" x14ac:dyDescent="0.3">
      <c r="A30" s="18"/>
      <c r="B30" s="2" t="s">
        <v>1</v>
      </c>
      <c r="C30" s="4">
        <f>C17</f>
        <v>25</v>
      </c>
    </row>
    <row r="31" spans="1:14" x14ac:dyDescent="0.3">
      <c r="A31" s="18" t="s">
        <v>12</v>
      </c>
      <c r="B31" s="2" t="s">
        <v>9</v>
      </c>
      <c r="C31" s="4">
        <f>C3</f>
        <v>25</v>
      </c>
    </row>
    <row r="32" spans="1:14" x14ac:dyDescent="0.3">
      <c r="A32" s="18"/>
      <c r="B32" s="2" t="s">
        <v>5</v>
      </c>
      <c r="C32" s="4">
        <f>C8</f>
        <v>25</v>
      </c>
    </row>
    <row r="33" spans="1:3" x14ac:dyDescent="0.3">
      <c r="A33" s="18"/>
      <c r="B33" s="2" t="s">
        <v>10</v>
      </c>
      <c r="C33" s="4">
        <f>C13</f>
        <v>25</v>
      </c>
    </row>
    <row r="34" spans="1:3" x14ac:dyDescent="0.3">
      <c r="A34" s="18"/>
      <c r="B34" s="2" t="s">
        <v>1</v>
      </c>
      <c r="C34" s="4">
        <f>C18</f>
        <v>25</v>
      </c>
    </row>
    <row r="35" spans="1:3" x14ac:dyDescent="0.3">
      <c r="A35" s="18" t="s">
        <v>11</v>
      </c>
      <c r="B35" s="2" t="s">
        <v>9</v>
      </c>
      <c r="C35" s="4">
        <f>C4</f>
        <v>25</v>
      </c>
    </row>
    <row r="36" spans="1:3" x14ac:dyDescent="0.3">
      <c r="A36" s="18"/>
      <c r="B36" s="2" t="s">
        <v>5</v>
      </c>
      <c r="C36" s="4">
        <f>C9</f>
        <v>25</v>
      </c>
    </row>
    <row r="37" spans="1:3" x14ac:dyDescent="0.3">
      <c r="A37" s="18"/>
      <c r="B37" s="2" t="s">
        <v>10</v>
      </c>
      <c r="C37" s="4">
        <f>C14</f>
        <v>25</v>
      </c>
    </row>
    <row r="38" spans="1:3" x14ac:dyDescent="0.3">
      <c r="A38" s="18"/>
      <c r="B38" s="2" t="s">
        <v>1</v>
      </c>
      <c r="C38" s="4">
        <f>C19</f>
        <v>25</v>
      </c>
    </row>
    <row r="39" spans="1:3" x14ac:dyDescent="0.3">
      <c r="A39" s="18" t="s">
        <v>2</v>
      </c>
      <c r="B39" s="2" t="s">
        <v>9</v>
      </c>
      <c r="C39" s="4">
        <f>C5</f>
        <v>25</v>
      </c>
    </row>
    <row r="40" spans="1:3" x14ac:dyDescent="0.3">
      <c r="A40" s="18"/>
      <c r="B40" s="2" t="s">
        <v>5</v>
      </c>
      <c r="C40" s="4">
        <f>C10</f>
        <v>25</v>
      </c>
    </row>
    <row r="41" spans="1:3" x14ac:dyDescent="0.3">
      <c r="A41" s="18"/>
      <c r="B41" s="2" t="s">
        <v>10</v>
      </c>
      <c r="C41" s="4">
        <f>C15</f>
        <v>25</v>
      </c>
    </row>
    <row r="42" spans="1:3" x14ac:dyDescent="0.3">
      <c r="A42" s="18"/>
      <c r="B42" s="2" t="s">
        <v>1</v>
      </c>
      <c r="C42" s="4">
        <f>C20</f>
        <v>25</v>
      </c>
    </row>
  </sheetData>
  <mergeCells count="9">
    <mergeCell ref="A1:A5"/>
    <mergeCell ref="A6:A10"/>
    <mergeCell ref="A11:A15"/>
    <mergeCell ref="A16:A20"/>
    <mergeCell ref="A39:A42"/>
    <mergeCell ref="A35:A38"/>
    <mergeCell ref="A31:A34"/>
    <mergeCell ref="A27:A30"/>
    <mergeCell ref="A23:A26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botões</vt:lpstr>
      <vt:lpstr>BDjogadas</vt:lpstr>
      <vt:lpstr>Graf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Pranke</dc:creator>
  <cp:lastModifiedBy>João Antonio Lobler</cp:lastModifiedBy>
  <dcterms:created xsi:type="dcterms:W3CDTF">2025-02-19T17:19:40Z</dcterms:created>
  <dcterms:modified xsi:type="dcterms:W3CDTF">2025-04-17T16:50:37Z</dcterms:modified>
</cp:coreProperties>
</file>