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alob\OneDrive\Área de Trabalho\Projeto UFSM FUTSAL\"/>
    </mc:Choice>
  </mc:AlternateContent>
  <xr:revisionPtr revIDLastSave="0" documentId="13_ncr:1_{DAD149F1-82CE-4FFC-AD6F-CF94E1DFEE40}" xr6:coauthVersionLast="47" xr6:coauthVersionMax="47" xr10:uidLastSave="{00000000-0000-0000-0000-000000000000}"/>
  <bookViews>
    <workbookView xWindow="-108" yWindow="-108" windowWidth="23256" windowHeight="12456" activeTab="2" xr2:uid="{CBCF74E8-AC25-47BC-AF82-1B0D868BD4FF}"/>
  </bookViews>
  <sheets>
    <sheet name="botões" sheetId="1" r:id="rId1"/>
    <sheet name="BDjogadas" sheetId="9" r:id="rId2"/>
    <sheet name="Graf" sheetId="8" r:id="rId3"/>
  </sheets>
  <definedNames>
    <definedName name="_xleta.T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9" l="1"/>
  <c r="C23" i="8"/>
  <c r="C22" i="8"/>
  <c r="C21" i="8"/>
  <c r="C20" i="8"/>
  <c r="C17" i="8"/>
  <c r="C16" i="8"/>
  <c r="C15" i="8"/>
  <c r="C14" i="8"/>
  <c r="C11" i="8"/>
  <c r="C10" i="8"/>
  <c r="C9" i="8"/>
  <c r="C8" i="8"/>
  <c r="C5" i="8"/>
  <c r="C4" i="8"/>
  <c r="C3" i="8"/>
  <c r="C2" i="8"/>
  <c r="H3" i="9" l="1"/>
  <c r="H4" i="9"/>
  <c r="H5" i="9"/>
  <c r="H6" i="9"/>
  <c r="H7" i="9"/>
  <c r="H8" i="9"/>
  <c r="H9" i="9"/>
  <c r="H10" i="9"/>
  <c r="H11" i="9"/>
  <c r="H12" i="9"/>
  <c r="H13" i="9"/>
  <c r="H14" i="9"/>
  <c r="H15" i="9"/>
  <c r="H17" i="9"/>
  <c r="H16" i="9"/>
  <c r="J14" i="9" l="1"/>
  <c r="C19" i="8" s="1"/>
  <c r="J10" i="9"/>
  <c r="C13" i="8" s="1"/>
  <c r="J6" i="9"/>
  <c r="C7" i="8" s="1"/>
  <c r="J2" i="9"/>
  <c r="C1" i="8" s="1"/>
  <c r="C36" i="8"/>
  <c r="C31" i="8"/>
  <c r="C34" i="8"/>
  <c r="C41" i="8"/>
  <c r="C43" i="8" l="1"/>
  <c r="C35" i="8"/>
  <c r="C28" i="8"/>
  <c r="C38" i="8"/>
  <c r="C32" i="8"/>
  <c r="C30" i="8"/>
  <c r="C40" i="8"/>
  <c r="C39" i="8"/>
  <c r="C44" i="8"/>
  <c r="C27" i="8"/>
  <c r="C42" i="8"/>
  <c r="C26" i="8"/>
  <c r="C33" i="8"/>
  <c r="C37" i="8"/>
  <c r="C29" i="8"/>
  <c r="C25" i="8"/>
</calcChain>
</file>

<file path=xl/sharedStrings.xml><?xml version="1.0" encoding="utf-8"?>
<sst xmlns="http://schemas.openxmlformats.org/spreadsheetml/2006/main" count="100" uniqueCount="33">
  <si>
    <t>TRANSIÇÃO</t>
  </si>
  <si>
    <t>BAIXA</t>
  </si>
  <si>
    <t>VARIANDO</t>
  </si>
  <si>
    <t>EFICIÊNCIAS</t>
  </si>
  <si>
    <t>VARIANDO PARA PRESSÃO</t>
  </si>
  <si>
    <t>PRESSING</t>
  </si>
  <si>
    <t>RECUPERAÇÃO DE POSSE</t>
  </si>
  <si>
    <t>FINALIZAÇÃO CEDIDA</t>
  </si>
  <si>
    <t>GOL TOMADO</t>
  </si>
  <si>
    <t>MARCAÇÃO BAIXA</t>
  </si>
  <si>
    <t>JOGADA INTERCEPTADA</t>
  </si>
  <si>
    <t>SCOUTING_DEFESA</t>
  </si>
  <si>
    <t>EFIC</t>
  </si>
  <si>
    <t>GOL TOM</t>
  </si>
  <si>
    <t>FIN CED</t>
  </si>
  <si>
    <t>JOG INT</t>
  </si>
  <si>
    <t>REC POS</t>
  </si>
  <si>
    <t>MB RECUPERA</t>
  </si>
  <si>
    <t>MB JOGADA INTERCEPTADA</t>
  </si>
  <si>
    <t>MB FINALIZACAO CEDIDA</t>
  </si>
  <si>
    <t>MB GOL TOMADO</t>
  </si>
  <si>
    <t>VARIANDO GOL TOMADO</t>
  </si>
  <si>
    <t>PRESSING GOL TOMADO</t>
  </si>
  <si>
    <t>TRANSIÇÃO GOL TOMADO</t>
  </si>
  <si>
    <t>TRANSIÇÃO FINALIZACAO CEDIDA</t>
  </si>
  <si>
    <t>PRESSING FINALIZACAO CEDIDA</t>
  </si>
  <si>
    <t>VARIANDO FINALIZACAO CEDIDA</t>
  </si>
  <si>
    <t>VARIANDO JOGADA INTERCEPTADA</t>
  </si>
  <si>
    <t>PRESSING JOGADA INTERCEPTADA</t>
  </si>
  <si>
    <t>TRANSIÇÃO JOGADA INTERCEPTADA</t>
  </si>
  <si>
    <t>TRANSIÇÃO RECUPERA</t>
  </si>
  <si>
    <t>PRESSING RECUPERA</t>
  </si>
  <si>
    <t>VARIANDO RECUPERA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</si>
</sst>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>
    <font>
      <sz val="11"/>
      <color theme="1"/>
      <name val="Aptos Narrow"/>
      <family val="2"/>
      <scheme val="minor"/>
    </font>
    <font>
      <b/>
      <sz val="11"/>
      <color theme="1"/>
      <name val="Avenir Next LT Pro"/>
      <family val="2"/>
    </font>
    <font>
      <sz val="11"/>
      <color theme="1"/>
      <name val="Avenir Next LT Pro"/>
      <family val="2"/>
    </font>
    <font>
      <sz val="12"/>
      <color rgb="FF000000"/>
      <name val="Avenir Next LT Pro"/>
      <family val="2"/>
    </font>
    <font>
      <b/>
      <sz val="14"/>
      <color theme="1"/>
      <name val="Avenir Next LT Pro"/>
      <family val="2"/>
    </font>
    <font>
      <b/>
      <sz val="11"/>
      <color theme="0"/>
      <name val="Avenir Next LT Pro"/>
      <family val="2"/>
    </font>
    <font>
      <b/>
      <sz val="12"/>
      <color rgb="FF000000"/>
      <name val="Avenir Next LT Pro"/>
      <family val="2"/>
    </font>
    <font>
      <sz val="10"/>
      <color theme="1"/>
      <name val="Liberation Sans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3" borderId="0" xfId="0" applyFont="1" applyFill="1"/>
    <xf numFmtId="0" fontId="5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64" fontId="2" fillId="6" borderId="1" xfId="0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164" fontId="2" fillId="7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164" fontId="2" fillId="3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</cellXfs>
  <cellStyles count="2">
    <cellStyle name="Default" xfId="1" xr:uid="{85D87BE0-8F16-4B6C-86F7-182D3EF70B96}"/>
    <cellStyle name="Normal" xfId="0" builtinId="0"/>
  </cellStyles>
  <dxfs count="0"/>
  <tableStyles count="0" defaultTableStyle="TableStyleMedium2" defaultPivotStyle="PivotStyleLight16"/>
  <colors>
    <mruColors>
      <color rgb="FFFFFF66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MARCAÇÃO</a:t>
            </a:r>
            <a:r>
              <a:rPr lang="pt-BR" baseline="0">
                <a:solidFill>
                  <a:schemeClr val="bg1"/>
                </a:solidFill>
              </a:rPr>
              <a:t> BAIXA</a:t>
            </a:r>
            <a:endParaRPr lang="pt-BR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Graf!$B$1:$B$5</c:f>
              <c:strCache>
                <c:ptCount val="5"/>
                <c:pt idx="0">
                  <c:v>EFIC</c:v>
                </c:pt>
                <c:pt idx="1">
                  <c:v>GOL TOM</c:v>
                </c:pt>
                <c:pt idx="2">
                  <c:v>FIN CED</c:v>
                </c:pt>
                <c:pt idx="3">
                  <c:v>JOG INT</c:v>
                </c:pt>
                <c:pt idx="4">
                  <c:v>REC POS</c:v>
                </c:pt>
              </c:strCache>
            </c:strRef>
          </c:cat>
          <c:val>
            <c:numRef>
              <c:f>Graf!$C$1:$C$5</c:f>
              <c:numCache>
                <c:formatCode>0.0</c:formatCode>
                <c:ptCount val="5"/>
                <c:pt idx="0">
                  <c:v>63.636363636363633</c:v>
                </c:pt>
                <c:pt idx="1">
                  <c:v>40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60-4BA4-A17D-21C2D1A242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VARIANDO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Graf!$B$7:$B$11</c:f>
              <c:strCache>
                <c:ptCount val="5"/>
                <c:pt idx="0">
                  <c:v>EFIC</c:v>
                </c:pt>
                <c:pt idx="1">
                  <c:v>GOL TOM</c:v>
                </c:pt>
                <c:pt idx="2">
                  <c:v>FIN CED</c:v>
                </c:pt>
                <c:pt idx="3">
                  <c:v>JOG INT</c:v>
                </c:pt>
                <c:pt idx="4">
                  <c:v>REC POS</c:v>
                </c:pt>
              </c:strCache>
            </c:strRef>
          </c:cat>
          <c:val>
            <c:numRef>
              <c:f>Graf!$C$7:$C$11</c:f>
              <c:numCache>
                <c:formatCode>0.0</c:formatCode>
                <c:ptCount val="5"/>
                <c:pt idx="0">
                  <c:v>82.35294117647058</c:v>
                </c:pt>
                <c:pt idx="1">
                  <c:v>16.666666666666664</c:v>
                </c:pt>
                <c:pt idx="2">
                  <c:v>16.666666666666664</c:v>
                </c:pt>
                <c:pt idx="3">
                  <c:v>33.333333333333329</c:v>
                </c:pt>
                <c:pt idx="4">
                  <c:v>33.333333333333329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F-4A79-A00C-85C251E4045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50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PRESSING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60000"/>
                <a:lumOff val="4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Graf!$B$13:$B$17</c:f>
              <c:strCache>
                <c:ptCount val="5"/>
                <c:pt idx="0">
                  <c:v>EFIC</c:v>
                </c:pt>
                <c:pt idx="1">
                  <c:v>GOL TOM</c:v>
                </c:pt>
                <c:pt idx="2">
                  <c:v>FIN CED</c:v>
                </c:pt>
                <c:pt idx="3">
                  <c:v>JOG INT</c:v>
                </c:pt>
                <c:pt idx="4">
                  <c:v>REC POS</c:v>
                </c:pt>
              </c:strCache>
            </c:strRef>
          </c:cat>
          <c:val>
            <c:numRef>
              <c:f>Graf!$C$13:$C$17</c:f>
              <c:numCache>
                <c:formatCode>0.0</c:formatCode>
                <c:ptCount val="5"/>
                <c:pt idx="0">
                  <c:v>73.68421052631578</c:v>
                </c:pt>
                <c:pt idx="1">
                  <c:v>14.285714285714285</c:v>
                </c:pt>
                <c:pt idx="2">
                  <c:v>28.571428571428569</c:v>
                </c:pt>
                <c:pt idx="3">
                  <c:v>28.571428571428569</c:v>
                </c:pt>
                <c:pt idx="4">
                  <c:v>28.571428571428569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37-45DD-807C-AA2D68A682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5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TRANSIÇÃO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FF66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Graf!$B$19:$B$23</c:f>
              <c:strCache>
                <c:ptCount val="5"/>
                <c:pt idx="0">
                  <c:v>EFIC</c:v>
                </c:pt>
                <c:pt idx="1">
                  <c:v>GOL TOM</c:v>
                </c:pt>
                <c:pt idx="2">
                  <c:v>FIN CED</c:v>
                </c:pt>
                <c:pt idx="3">
                  <c:v>JOG INT</c:v>
                </c:pt>
                <c:pt idx="4">
                  <c:v>REC POS</c:v>
                </c:pt>
              </c:strCache>
            </c:strRef>
          </c:cat>
          <c:val>
            <c:numRef>
              <c:f>Graf!$C$19:$C$23</c:f>
              <c:numCache>
                <c:formatCode>0.0</c:formatCode>
                <c:ptCount val="5"/>
                <c:pt idx="0">
                  <c:v>70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9-41CE-A018-0A1E5F86F2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CCC00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(Graf!$A$1:$B$5,Graf!$A$7:$B$11,Graf!$A$13:$B$17,Graf!$A$19:$B$23)</c:f>
              <c:multiLvlStrCache>
                <c:ptCount val="20"/>
                <c:lvl>
                  <c:pt idx="0">
                    <c:v>EFIC</c:v>
                  </c:pt>
                  <c:pt idx="1">
                    <c:v>GOL TOM</c:v>
                  </c:pt>
                  <c:pt idx="2">
                    <c:v>FIN CED</c:v>
                  </c:pt>
                  <c:pt idx="3">
                    <c:v>JOG INT</c:v>
                  </c:pt>
                  <c:pt idx="4">
                    <c:v>REC POS</c:v>
                  </c:pt>
                  <c:pt idx="5">
                    <c:v>EFIC</c:v>
                  </c:pt>
                  <c:pt idx="6">
                    <c:v>GOL TOM</c:v>
                  </c:pt>
                  <c:pt idx="7">
                    <c:v>FIN CED</c:v>
                  </c:pt>
                  <c:pt idx="8">
                    <c:v>JOG INT</c:v>
                  </c:pt>
                  <c:pt idx="9">
                    <c:v>REC POS</c:v>
                  </c:pt>
                  <c:pt idx="10">
                    <c:v>EFIC</c:v>
                  </c:pt>
                  <c:pt idx="11">
                    <c:v>GOL TOM</c:v>
                  </c:pt>
                  <c:pt idx="12">
                    <c:v>FIN CED</c:v>
                  </c:pt>
                  <c:pt idx="13">
                    <c:v>JOG INT</c:v>
                  </c:pt>
                  <c:pt idx="14">
                    <c:v>REC POS</c:v>
                  </c:pt>
                  <c:pt idx="15">
                    <c:v>EFIC</c:v>
                  </c:pt>
                  <c:pt idx="16">
                    <c:v>GOL TOM</c:v>
                  </c:pt>
                  <c:pt idx="17">
                    <c:v>FIN CED</c:v>
                  </c:pt>
                  <c:pt idx="18">
                    <c:v>JOG INT</c:v>
                  </c:pt>
                  <c:pt idx="19">
                    <c:v>REC POS</c:v>
                  </c:pt>
                </c:lvl>
                <c:lvl>
                  <c:pt idx="0">
                    <c:v>MARCAÇÃO BAIXA</c:v>
                  </c:pt>
                  <c:pt idx="5">
                    <c:v>VARIANDO PARA PRESSÃO</c:v>
                  </c:pt>
                  <c:pt idx="10">
                    <c:v>PRESSING</c:v>
                  </c:pt>
                  <c:pt idx="15">
                    <c:v>TRANSIÇÃO</c:v>
                  </c:pt>
                </c:lvl>
              </c:multiLvlStrCache>
            </c:multiLvlStrRef>
          </c:cat>
          <c:val>
            <c:numRef>
              <c:f>(Graf!$C$1:$C$5,Graf!$C$7:$C$11,Graf!$C$13:$C$17,Graf!$C$19:$C$23)</c:f>
              <c:numCache>
                <c:formatCode>0.0</c:formatCode>
                <c:ptCount val="20"/>
                <c:pt idx="0">
                  <c:v>63.636363636363633</c:v>
                </c:pt>
                <c:pt idx="1">
                  <c:v>40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82.35294117647058</c:v>
                </c:pt>
                <c:pt idx="6">
                  <c:v>16.666666666666664</c:v>
                </c:pt>
                <c:pt idx="7">
                  <c:v>16.666666666666664</c:v>
                </c:pt>
                <c:pt idx="8">
                  <c:v>33.333333333333329</c:v>
                </c:pt>
                <c:pt idx="9">
                  <c:v>33.333333333333329</c:v>
                </c:pt>
                <c:pt idx="10">
                  <c:v>73.68421052631578</c:v>
                </c:pt>
                <c:pt idx="11">
                  <c:v>14.285714285714285</c:v>
                </c:pt>
                <c:pt idx="12">
                  <c:v>28.571428571428569</c:v>
                </c:pt>
                <c:pt idx="13">
                  <c:v>28.571428571428569</c:v>
                </c:pt>
                <c:pt idx="14">
                  <c:v>28.571428571428569</c:v>
                </c:pt>
                <c:pt idx="15">
                  <c:v>70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B-46C6-9F33-E13876AAD5E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94426015"/>
        <c:axId val="894421695"/>
      </c:barChart>
      <c:catAx>
        <c:axId val="89442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421695"/>
        <c:crosses val="autoZero"/>
        <c:auto val="1"/>
        <c:lblAlgn val="ctr"/>
        <c:lblOffset val="100"/>
        <c:noMultiLvlLbl val="0"/>
      </c:catAx>
      <c:valAx>
        <c:axId val="89442169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9442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Graf!$A$25:$B$44</c:f>
              <c:multiLvlStrCache>
                <c:ptCount val="20"/>
                <c:lvl>
                  <c:pt idx="0">
                    <c:v>MARCAÇÃO BAIXA</c:v>
                  </c:pt>
                  <c:pt idx="1">
                    <c:v>VARIANDO</c:v>
                  </c:pt>
                  <c:pt idx="2">
                    <c:v>PRESSING</c:v>
                  </c:pt>
                  <c:pt idx="3">
                    <c:v>TRANSIÇÃO</c:v>
                  </c:pt>
                  <c:pt idx="4">
                    <c:v>MARCAÇÃO BAIXA</c:v>
                  </c:pt>
                  <c:pt idx="5">
                    <c:v>VARIANDO</c:v>
                  </c:pt>
                  <c:pt idx="6">
                    <c:v>PRESSING</c:v>
                  </c:pt>
                  <c:pt idx="7">
                    <c:v>TRANSIÇÃO</c:v>
                  </c:pt>
                  <c:pt idx="8">
                    <c:v>MARCAÇÃO BAIXA</c:v>
                  </c:pt>
                  <c:pt idx="9">
                    <c:v>VARIANDO</c:v>
                  </c:pt>
                  <c:pt idx="10">
                    <c:v>PRESSING</c:v>
                  </c:pt>
                  <c:pt idx="11">
                    <c:v>TRANSIÇÃO</c:v>
                  </c:pt>
                  <c:pt idx="12">
                    <c:v>MARCAÇÃO BAIXA</c:v>
                  </c:pt>
                  <c:pt idx="13">
                    <c:v>VARIANDO</c:v>
                  </c:pt>
                  <c:pt idx="14">
                    <c:v>PRESSING</c:v>
                  </c:pt>
                  <c:pt idx="15">
                    <c:v>TRANSIÇÃO</c:v>
                  </c:pt>
                  <c:pt idx="16">
                    <c:v>MARCAÇÃO BAIXA</c:v>
                  </c:pt>
                  <c:pt idx="17">
                    <c:v>VARIANDO</c:v>
                  </c:pt>
                  <c:pt idx="18">
                    <c:v>PRESSING</c:v>
                  </c:pt>
                  <c:pt idx="19">
                    <c:v>TRANSIÇÃO</c:v>
                  </c:pt>
                </c:lvl>
                <c:lvl>
                  <c:pt idx="0">
                    <c:v>EFICIÊNCIAS</c:v>
                  </c:pt>
                  <c:pt idx="4">
                    <c:v>GOL TOMADO</c:v>
                  </c:pt>
                  <c:pt idx="8">
                    <c:v>FINALIZAÇÃO CEDIDA</c:v>
                  </c:pt>
                  <c:pt idx="12">
                    <c:v>JOGADA INTERCEPTADA</c:v>
                  </c:pt>
                  <c:pt idx="16">
                    <c:v>RECUPERAÇÃO DE POSSE</c:v>
                  </c:pt>
                </c:lvl>
              </c:multiLvlStrCache>
            </c:multiLvlStrRef>
          </c:cat>
          <c:val>
            <c:numRef>
              <c:f>Graf!$C$25:$C$44</c:f>
              <c:numCache>
                <c:formatCode>0.0</c:formatCode>
                <c:ptCount val="20"/>
                <c:pt idx="0">
                  <c:v>63.636363636363633</c:v>
                </c:pt>
                <c:pt idx="1">
                  <c:v>82.35294117647058</c:v>
                </c:pt>
                <c:pt idx="2">
                  <c:v>73.68421052631578</c:v>
                </c:pt>
                <c:pt idx="3">
                  <c:v>70</c:v>
                </c:pt>
                <c:pt idx="4">
                  <c:v>40</c:v>
                </c:pt>
                <c:pt idx="5">
                  <c:v>16.666666666666664</c:v>
                </c:pt>
                <c:pt idx="6">
                  <c:v>14.285714285714285</c:v>
                </c:pt>
                <c:pt idx="7">
                  <c:v>25</c:v>
                </c:pt>
                <c:pt idx="8">
                  <c:v>20</c:v>
                </c:pt>
                <c:pt idx="9">
                  <c:v>16.666666666666664</c:v>
                </c:pt>
                <c:pt idx="10">
                  <c:v>28.571428571428569</c:v>
                </c:pt>
                <c:pt idx="11">
                  <c:v>25</c:v>
                </c:pt>
                <c:pt idx="12">
                  <c:v>20</c:v>
                </c:pt>
                <c:pt idx="13">
                  <c:v>33.333333333333329</c:v>
                </c:pt>
                <c:pt idx="14">
                  <c:v>28.571428571428569</c:v>
                </c:pt>
                <c:pt idx="15">
                  <c:v>25</c:v>
                </c:pt>
                <c:pt idx="16">
                  <c:v>20</c:v>
                </c:pt>
                <c:pt idx="17">
                  <c:v>33.333333333333329</c:v>
                </c:pt>
                <c:pt idx="18">
                  <c:v>28.571428571428569</c:v>
                </c:pt>
                <c:pt idx="1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9-49C3-BDB6-AA9AD0F05D3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94426015"/>
        <c:axId val="894421695"/>
      </c:barChart>
      <c:catAx>
        <c:axId val="89442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421695"/>
        <c:crosses val="autoZero"/>
        <c:auto val="1"/>
        <c:lblAlgn val="ctr"/>
        <c:lblOffset val="100"/>
        <c:noMultiLvlLbl val="0"/>
      </c:catAx>
      <c:valAx>
        <c:axId val="89442169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9442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EFICIÊNCIAS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Avenir Next LT Pro" panose="020B05040202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Avenir Next LT Pro" panose="020B0504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(Graf!$A$1,Graf!$A$7,Graf!$A$13,Graf!$A$19)</c:f>
              <c:strCache>
                <c:ptCount val="4"/>
                <c:pt idx="0">
                  <c:v>MARCAÇÃO BAIXA</c:v>
                </c:pt>
                <c:pt idx="1">
                  <c:v>VARIANDO PARA PRESSÃO</c:v>
                </c:pt>
                <c:pt idx="2">
                  <c:v>PRESSING</c:v>
                </c:pt>
                <c:pt idx="3">
                  <c:v>TRANSIÇÃO</c:v>
                </c:pt>
              </c:strCache>
            </c:strRef>
          </c:cat>
          <c:val>
            <c:numRef>
              <c:f>(Graf!$C$1,Graf!$C$7,Graf!$C$13,Graf!$C$19)</c:f>
              <c:numCache>
                <c:formatCode>0.0</c:formatCode>
                <c:ptCount val="4"/>
                <c:pt idx="0">
                  <c:v>63.636363636363633</c:v>
                </c:pt>
                <c:pt idx="1">
                  <c:v>82.35294117647058</c:v>
                </c:pt>
                <c:pt idx="2">
                  <c:v>73.68421052631578</c:v>
                </c:pt>
                <c:pt idx="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17-4F27-8971-1F602DEA597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731711"/>
        <c:axId val="812741311"/>
      </c:barChart>
      <c:catAx>
        <c:axId val="812731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Avenir Next LT Pro" panose="020B0504020202020204" pitchFamily="34" charset="0"/>
                <a:ea typeface="+mn-ea"/>
                <a:cs typeface="+mn-cs"/>
              </a:defRPr>
            </a:pPr>
            <a:endParaRPr lang="pt-BR"/>
          </a:p>
        </c:txPr>
        <c:crossAx val="812741311"/>
        <c:crosses val="autoZero"/>
        <c:auto val="1"/>
        <c:lblAlgn val="ctr"/>
        <c:lblOffset val="100"/>
        <c:noMultiLvlLbl val="0"/>
      </c:catAx>
      <c:valAx>
        <c:axId val="81274131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81273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Avenir Next LT Pro" panose="020B05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1</xdr:row>
          <xdr:rowOff>45720</xdr:rowOff>
        </xdr:from>
        <xdr:to>
          <xdr:col>2</xdr:col>
          <xdr:colOff>1508760</xdr:colOff>
          <xdr:row>1</xdr:row>
          <xdr:rowOff>731520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MB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RECUPERA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1</xdr:row>
          <xdr:rowOff>45720</xdr:rowOff>
        </xdr:from>
        <xdr:to>
          <xdr:col>3</xdr:col>
          <xdr:colOff>1516380</xdr:colOff>
          <xdr:row>1</xdr:row>
          <xdr:rowOff>731520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MB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JOGADA</a:t>
              </a: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INTERCEP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1</xdr:row>
          <xdr:rowOff>45720</xdr:rowOff>
        </xdr:from>
        <xdr:to>
          <xdr:col>4</xdr:col>
          <xdr:colOff>1516380</xdr:colOff>
          <xdr:row>1</xdr:row>
          <xdr:rowOff>731520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MB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FINALIZ</a:t>
              </a: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CEDIDA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2</xdr:row>
          <xdr:rowOff>68580</xdr:rowOff>
        </xdr:from>
        <xdr:to>
          <xdr:col>2</xdr:col>
          <xdr:colOff>1508760</xdr:colOff>
          <xdr:row>2</xdr:row>
          <xdr:rowOff>754380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VARIANDO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RECUPERA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2</xdr:row>
          <xdr:rowOff>68580</xdr:rowOff>
        </xdr:from>
        <xdr:to>
          <xdr:col>3</xdr:col>
          <xdr:colOff>1516380</xdr:colOff>
          <xdr:row>2</xdr:row>
          <xdr:rowOff>754380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VARIANDO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JOGADA INTERCEP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2</xdr:row>
          <xdr:rowOff>68580</xdr:rowOff>
        </xdr:from>
        <xdr:to>
          <xdr:col>4</xdr:col>
          <xdr:colOff>1516380</xdr:colOff>
          <xdr:row>2</xdr:row>
          <xdr:rowOff>754380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VARIANDO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FINALIZ</a:t>
              </a: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CEDIDA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3</xdr:row>
          <xdr:rowOff>60960</xdr:rowOff>
        </xdr:from>
        <xdr:to>
          <xdr:col>2</xdr:col>
          <xdr:colOff>1508760</xdr:colOff>
          <xdr:row>3</xdr:row>
          <xdr:rowOff>746760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PRESSING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RECUPERA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3</xdr:row>
          <xdr:rowOff>60960</xdr:rowOff>
        </xdr:from>
        <xdr:to>
          <xdr:col>3</xdr:col>
          <xdr:colOff>1516380</xdr:colOff>
          <xdr:row>3</xdr:row>
          <xdr:rowOff>746760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PRESSING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JOGADA</a:t>
              </a: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INTERCEP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3</xdr:row>
          <xdr:rowOff>60960</xdr:rowOff>
        </xdr:from>
        <xdr:to>
          <xdr:col>4</xdr:col>
          <xdr:colOff>1516380</xdr:colOff>
          <xdr:row>3</xdr:row>
          <xdr:rowOff>746760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PRESSING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FINALIZAÇÃO CEDIDA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1</xdr:row>
          <xdr:rowOff>45720</xdr:rowOff>
        </xdr:from>
        <xdr:to>
          <xdr:col>5</xdr:col>
          <xdr:colOff>1516380</xdr:colOff>
          <xdr:row>1</xdr:row>
          <xdr:rowOff>731520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MB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 TOMADO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2</xdr:row>
          <xdr:rowOff>68580</xdr:rowOff>
        </xdr:from>
        <xdr:to>
          <xdr:col>5</xdr:col>
          <xdr:colOff>1516380</xdr:colOff>
          <xdr:row>2</xdr:row>
          <xdr:rowOff>754380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VARIANDO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 TOMADO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3</xdr:row>
          <xdr:rowOff>60960</xdr:rowOff>
        </xdr:from>
        <xdr:to>
          <xdr:col>5</xdr:col>
          <xdr:colOff>1516380</xdr:colOff>
          <xdr:row>3</xdr:row>
          <xdr:rowOff>746760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PRESSING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 TOMADO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251460</xdr:colOff>
          <xdr:row>4</xdr:row>
          <xdr:rowOff>68580</xdr:rowOff>
        </xdr:from>
        <xdr:to>
          <xdr:col>2</xdr:col>
          <xdr:colOff>1508760</xdr:colOff>
          <xdr:row>4</xdr:row>
          <xdr:rowOff>754380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TRANSIÇÃO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RECUPERA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4</xdr:row>
          <xdr:rowOff>68580</xdr:rowOff>
        </xdr:from>
        <xdr:to>
          <xdr:col>3</xdr:col>
          <xdr:colOff>1516380</xdr:colOff>
          <xdr:row>4</xdr:row>
          <xdr:rowOff>754380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TRANSIÇÃO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JOGADA</a:t>
              </a: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INTERCEP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4</xdr:row>
          <xdr:rowOff>68580</xdr:rowOff>
        </xdr:from>
        <xdr:to>
          <xdr:col>4</xdr:col>
          <xdr:colOff>1516380</xdr:colOff>
          <xdr:row>4</xdr:row>
          <xdr:rowOff>754380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TRANSIÇÃO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FINALIZAÇÃO CEDIDA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4</xdr:row>
          <xdr:rowOff>68580</xdr:rowOff>
        </xdr:from>
        <xdr:to>
          <xdr:col>5</xdr:col>
          <xdr:colOff>1516380</xdr:colOff>
          <xdr:row>4</xdr:row>
          <xdr:rowOff>754380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venir Next LT Pro"/>
                </a:rPr>
                <a:t>TRANSIÇÃO</a:t>
              </a:r>
              <a:endParaRPr lang="pt-BR" sz="1200" b="0" i="0" u="none" strike="noStrike" baseline="0">
                <a:solidFill>
                  <a:srgbClr val="000000"/>
                </a:solidFill>
                <a:latin typeface="Avenir Next LT Pro"/>
              </a:endParaRPr>
            </a:p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Avenir Next LT Pro"/>
                </a:rPr>
                <a:t>GOL TOMADO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373380</xdr:colOff>
      <xdr:row>1</xdr:row>
      <xdr:rowOff>60960</xdr:rowOff>
    </xdr:from>
    <xdr:to>
      <xdr:col>5</xdr:col>
      <xdr:colOff>236220</xdr:colOff>
      <xdr:row>4</xdr:row>
      <xdr:rowOff>15240</xdr:rowOff>
    </xdr:to>
    <xdr:sp macro="[0]!ZerarBDjogadas" textlink="">
      <xdr:nvSpPr>
        <xdr:cNvPr id="2" name="Retângulo 1">
          <a:extLst>
            <a:ext uri="{FF2B5EF4-FFF2-40B4-BE49-F238E27FC236}">
              <a16:creationId xmlns:a16="http://schemas.microsoft.com/office/drawing/2014/main" id="{8697A6BE-633B-63BC-1C57-DBB116F812CB}"/>
            </a:ext>
          </a:extLst>
        </xdr:cNvPr>
        <xdr:cNvSpPr/>
      </xdr:nvSpPr>
      <xdr:spPr>
        <a:xfrm>
          <a:off x="2499360" y="243840"/>
          <a:ext cx="2301240" cy="50292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ZERAR PLANILHA</a:t>
          </a:r>
        </a:p>
        <a:p>
          <a:pPr algn="ctr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26670</xdr:rowOff>
    </xdr:from>
    <xdr:to>
      <xdr:col>9</xdr:col>
      <xdr:colOff>342900</xdr:colOff>
      <xdr:row>8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F3CA41D-3DE5-7B53-C20A-4DB6E8C80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601980</xdr:colOff>
      <xdr:row>9</xdr:row>
      <xdr:rowOff>7620</xdr:rowOff>
    </xdr:from>
    <xdr:to>
      <xdr:col>9</xdr:col>
      <xdr:colOff>335280</xdr:colOff>
      <xdr:row>17</xdr:row>
      <xdr:rowOff>125730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4AA97FF-9FB2-47CD-A79D-A4DF1997D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601980</xdr:colOff>
      <xdr:row>17</xdr:row>
      <xdr:rowOff>160020</xdr:rowOff>
    </xdr:from>
    <xdr:to>
      <xdr:col>9</xdr:col>
      <xdr:colOff>335280</xdr:colOff>
      <xdr:row>26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DDBD571-E6E0-4FE0-B21B-108D3C8827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601980</xdr:colOff>
      <xdr:row>26</xdr:row>
      <xdr:rowOff>129540</xdr:rowOff>
    </xdr:from>
    <xdr:to>
      <xdr:col>9</xdr:col>
      <xdr:colOff>335280</xdr:colOff>
      <xdr:row>35</xdr:row>
      <xdr:rowOff>64770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BB6C4AC-785C-422F-A27F-1B972E3EE6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403860</xdr:colOff>
      <xdr:row>0</xdr:row>
      <xdr:rowOff>26670</xdr:rowOff>
    </xdr:from>
    <xdr:to>
      <xdr:col>20</xdr:col>
      <xdr:colOff>597244</xdr:colOff>
      <xdr:row>17</xdr:row>
      <xdr:rowOff>137160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344A784-C773-1CC0-60BF-F23300ADF7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396240</xdr:colOff>
      <xdr:row>17</xdr:row>
      <xdr:rowOff>167640</xdr:rowOff>
    </xdr:from>
    <xdr:to>
      <xdr:col>21</xdr:col>
      <xdr:colOff>10297</xdr:colOff>
      <xdr:row>35</xdr:row>
      <xdr:rowOff>53340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F65523E-A50E-4076-8DB2-B7A9CCA9E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36</xdr:row>
      <xdr:rowOff>0</xdr:rowOff>
    </xdr:from>
    <xdr:to>
      <xdr:col>9</xdr:col>
      <xdr:colOff>340841</xdr:colOff>
      <xdr:row>44</xdr:row>
      <xdr:rowOff>120582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77FAF70-8A49-42BD-AF95-D559A0A6C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CFC2-F5A7-4556-BE8F-1625A2D01647}">
  <sheetPr codeName="Planilha1"/>
  <dimension ref="A1:M8"/>
  <sheetViews>
    <sheetView zoomScale="85" zoomScaleNormal="85" workbookViewId="0">
      <selection activeCell="D4" sqref="D4"/>
    </sheetView>
  </sheetViews>
  <sheetFormatPr defaultRowHeight="56.4" customHeight="1"/>
  <cols>
    <col min="1" max="1" width="8.88671875" style="1"/>
    <col min="2" max="2" width="26.44140625" style="1" customWidth="1"/>
    <col min="3" max="6" width="24.6640625" style="1" customWidth="1"/>
    <col min="7" max="7" width="8.88671875" style="2"/>
    <col min="8" max="8" width="31.109375" style="2" customWidth="1"/>
    <col min="9" max="9" width="28.88671875" style="2" customWidth="1"/>
    <col min="10" max="10" width="8.88671875" style="1"/>
    <col min="11" max="11" width="10.5546875" style="1" customWidth="1"/>
    <col min="12" max="13" width="29.5546875" style="1" customWidth="1"/>
    <col min="14" max="16384" width="8.88671875" style="1"/>
  </cols>
  <sheetData>
    <row r="1" spans="1:13" ht="55.2" customHeight="1">
      <c r="A1" s="6"/>
      <c r="B1" s="7" t="s">
        <v>11</v>
      </c>
      <c r="C1" s="8" t="s">
        <v>6</v>
      </c>
      <c r="D1" s="8" t="s">
        <v>10</v>
      </c>
      <c r="E1" s="8" t="s">
        <v>7</v>
      </c>
      <c r="F1" s="8" t="s">
        <v>8</v>
      </c>
    </row>
    <row r="2" spans="1:13" ht="61.2" customHeight="1">
      <c r="A2" s="6"/>
      <c r="B2" s="8" t="s">
        <v>1</v>
      </c>
      <c r="C2" s="5"/>
      <c r="D2" s="5"/>
      <c r="E2" s="5"/>
      <c r="F2" s="5"/>
      <c r="K2" s="2"/>
      <c r="L2" s="2"/>
      <c r="M2" s="2"/>
    </row>
    <row r="3" spans="1:13" ht="61.2" customHeight="1">
      <c r="A3" s="6"/>
      <c r="B3" s="8" t="s">
        <v>4</v>
      </c>
      <c r="C3" s="5"/>
      <c r="D3" s="5"/>
      <c r="E3" s="5"/>
      <c r="F3" s="5"/>
      <c r="K3" s="2"/>
      <c r="L3" s="2"/>
      <c r="M3" s="2"/>
    </row>
    <row r="4" spans="1:13" ht="61.2" customHeight="1">
      <c r="A4" s="6"/>
      <c r="B4" s="8" t="s">
        <v>5</v>
      </c>
      <c r="C4" s="5"/>
      <c r="D4" s="5"/>
      <c r="E4" s="5"/>
      <c r="F4" s="5"/>
      <c r="K4" s="2"/>
      <c r="L4" s="2"/>
      <c r="M4" s="2"/>
    </row>
    <row r="5" spans="1:13" ht="61.2" customHeight="1">
      <c r="A5" s="6"/>
      <c r="B5" s="8" t="s">
        <v>0</v>
      </c>
      <c r="C5" s="5"/>
      <c r="D5" s="5"/>
      <c r="E5" s="5"/>
      <c r="F5" s="5"/>
      <c r="K5" s="2"/>
      <c r="L5" s="2"/>
      <c r="M5" s="2"/>
    </row>
    <row r="6" spans="1:13" ht="56.4" customHeight="1">
      <c r="A6" s="6"/>
      <c r="B6" s="6"/>
      <c r="C6" s="6"/>
      <c r="D6" s="6"/>
      <c r="E6" s="6"/>
      <c r="F6" s="6"/>
      <c r="K6" s="2"/>
      <c r="L6" s="2"/>
      <c r="M6" s="2"/>
    </row>
    <row r="7" spans="1:13" ht="56.4" customHeight="1">
      <c r="K7" s="2"/>
      <c r="L7" s="2"/>
      <c r="M7" s="2"/>
    </row>
    <row r="8" spans="1:13" ht="56.4" customHeight="1">
      <c r="K8" s="2"/>
      <c r="L8" s="2"/>
      <c r="M8" s="2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Botao_MB_Recupera">
                <anchor moveWithCells="1" sizeWithCells="1">
                  <from>
                    <xdr:col>2</xdr:col>
                    <xdr:colOff>251460</xdr:colOff>
                    <xdr:row>1</xdr:row>
                    <xdr:rowOff>45720</xdr:rowOff>
                  </from>
                  <to>
                    <xdr:col>2</xdr:col>
                    <xdr:colOff>1508760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Botao_MB_Interceptada">
                <anchor moveWithCells="1" sizeWithCells="1">
                  <from>
                    <xdr:col>3</xdr:col>
                    <xdr:colOff>251460</xdr:colOff>
                    <xdr:row>1</xdr:row>
                    <xdr:rowOff>45720</xdr:rowOff>
                  </from>
                  <to>
                    <xdr:col>3</xdr:col>
                    <xdr:colOff>1516380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Botao_MB_Finalizacao">
                <anchor moveWithCells="1" sizeWithCells="1">
                  <from>
                    <xdr:col>4</xdr:col>
                    <xdr:colOff>251460</xdr:colOff>
                    <xdr:row>1</xdr:row>
                    <xdr:rowOff>45720</xdr:rowOff>
                  </from>
                  <to>
                    <xdr:col>4</xdr:col>
                    <xdr:colOff>1516380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otao_Variando_Recupera">
                <anchor moveWithCells="1" sizeWithCells="1">
                  <from>
                    <xdr:col>2</xdr:col>
                    <xdr:colOff>251460</xdr:colOff>
                    <xdr:row>2</xdr:row>
                    <xdr:rowOff>68580</xdr:rowOff>
                  </from>
                  <to>
                    <xdr:col>2</xdr:col>
                    <xdr:colOff>1508760</xdr:colOff>
                    <xdr:row>2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otao_Variando_Interceptada">
                <anchor moveWithCells="1" sizeWithCells="1">
                  <from>
                    <xdr:col>3</xdr:col>
                    <xdr:colOff>251460</xdr:colOff>
                    <xdr:row>2</xdr:row>
                    <xdr:rowOff>68580</xdr:rowOff>
                  </from>
                  <to>
                    <xdr:col>3</xdr:col>
                    <xdr:colOff>1516380</xdr:colOff>
                    <xdr:row>2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otao_Variando_Finalizacao">
                <anchor moveWithCells="1" sizeWithCells="1">
                  <from>
                    <xdr:col>4</xdr:col>
                    <xdr:colOff>251460</xdr:colOff>
                    <xdr:row>2</xdr:row>
                    <xdr:rowOff>68580</xdr:rowOff>
                  </from>
                  <to>
                    <xdr:col>4</xdr:col>
                    <xdr:colOff>1516380</xdr:colOff>
                    <xdr:row>2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otao_Pressing_Recupera">
                <anchor moveWithCells="1" sizeWithCells="1">
                  <from>
                    <xdr:col>2</xdr:col>
                    <xdr:colOff>251460</xdr:colOff>
                    <xdr:row>3</xdr:row>
                    <xdr:rowOff>60960</xdr:rowOff>
                  </from>
                  <to>
                    <xdr:col>2</xdr:col>
                    <xdr:colOff>1508760</xdr:colOff>
                    <xdr:row>3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otao_Pressing_Interceptada">
                <anchor moveWithCells="1" sizeWithCells="1">
                  <from>
                    <xdr:col>3</xdr:col>
                    <xdr:colOff>251460</xdr:colOff>
                    <xdr:row>3</xdr:row>
                    <xdr:rowOff>60960</xdr:rowOff>
                  </from>
                  <to>
                    <xdr:col>3</xdr:col>
                    <xdr:colOff>1516380</xdr:colOff>
                    <xdr:row>3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otao_Pressing_Finalizacao">
                <anchor moveWithCells="1" sizeWithCells="1">
                  <from>
                    <xdr:col>4</xdr:col>
                    <xdr:colOff>251460</xdr:colOff>
                    <xdr:row>3</xdr:row>
                    <xdr:rowOff>60960</xdr:rowOff>
                  </from>
                  <to>
                    <xdr:col>4</xdr:col>
                    <xdr:colOff>1516380</xdr:colOff>
                    <xdr:row>3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otao_MB_GolTomado">
                <anchor moveWithCells="1" sizeWithCells="1">
                  <from>
                    <xdr:col>5</xdr:col>
                    <xdr:colOff>259080</xdr:colOff>
                    <xdr:row>1</xdr:row>
                    <xdr:rowOff>45720</xdr:rowOff>
                  </from>
                  <to>
                    <xdr:col>5</xdr:col>
                    <xdr:colOff>1516380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otao_Variando_GolTomado">
                <anchor moveWithCells="1" sizeWithCells="1">
                  <from>
                    <xdr:col>5</xdr:col>
                    <xdr:colOff>259080</xdr:colOff>
                    <xdr:row>2</xdr:row>
                    <xdr:rowOff>68580</xdr:rowOff>
                  </from>
                  <to>
                    <xdr:col>5</xdr:col>
                    <xdr:colOff>1516380</xdr:colOff>
                    <xdr:row>2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otao_Pressing_GolTomado">
                <anchor moveWithCells="1" sizeWithCells="1">
                  <from>
                    <xdr:col>5</xdr:col>
                    <xdr:colOff>259080</xdr:colOff>
                    <xdr:row>3</xdr:row>
                    <xdr:rowOff>60960</xdr:rowOff>
                  </from>
                  <to>
                    <xdr:col>5</xdr:col>
                    <xdr:colOff>1516380</xdr:colOff>
                    <xdr:row>3</xdr:row>
                    <xdr:rowOff>746760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6" name="Button 30">
              <controlPr defaultSize="0" print="0" autoFill="0" autoPict="0" macro="[0]!Botao_Transicao_Recupera">
                <anchor moveWithCells="1" sizeWithCells="1">
                  <from>
                    <xdr:col>2</xdr:col>
                    <xdr:colOff>251460</xdr:colOff>
                    <xdr:row>4</xdr:row>
                    <xdr:rowOff>68580</xdr:rowOff>
                  </from>
                  <to>
                    <xdr:col>2</xdr:col>
                    <xdr:colOff>1508760</xdr:colOff>
                    <xdr:row>4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7" name="Button 31">
              <controlPr defaultSize="0" print="0" autoFill="0" autoPict="0" macro="[0]!Botao_Transicao_Interceptada">
                <anchor moveWithCells="1" sizeWithCells="1">
                  <from>
                    <xdr:col>3</xdr:col>
                    <xdr:colOff>251460</xdr:colOff>
                    <xdr:row>4</xdr:row>
                    <xdr:rowOff>68580</xdr:rowOff>
                  </from>
                  <to>
                    <xdr:col>3</xdr:col>
                    <xdr:colOff>1516380</xdr:colOff>
                    <xdr:row>4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8" name="Button 32">
              <controlPr defaultSize="0" print="0" autoFill="0" autoPict="0" macro="[0]!Botao_Transicao_Finalizacao">
                <anchor moveWithCells="1" sizeWithCells="1">
                  <from>
                    <xdr:col>4</xdr:col>
                    <xdr:colOff>251460</xdr:colOff>
                    <xdr:row>4</xdr:row>
                    <xdr:rowOff>68580</xdr:rowOff>
                  </from>
                  <to>
                    <xdr:col>4</xdr:col>
                    <xdr:colOff>1516380</xdr:colOff>
                    <xdr:row>4</xdr:row>
                    <xdr:rowOff>754380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9" name="Button 33">
              <controlPr defaultSize="0" print="0" autoFill="0" autoPict="0" macro="[0]!Botao_Transicao_GolTomado">
                <anchor moveWithCells="1" sizeWithCells="1">
                  <from>
                    <xdr:col>5</xdr:col>
                    <xdr:colOff>259080</xdr:colOff>
                    <xdr:row>4</xdr:row>
                    <xdr:rowOff>68580</xdr:rowOff>
                  </from>
                  <to>
                    <xdr:col>5</xdr:col>
                    <xdr:colOff>1516380</xdr:colOff>
                    <xdr:row>4</xdr:row>
                    <xdr:rowOff>754380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0126D-772C-4BCD-881C-AFF28400FB61}">
  <sheetPr codeName="Planilha5"/>
  <dimension ref="A2:J27"/>
  <sheetViews>
    <sheetView workbookViewId="0">
      <selection activeCell="J14" sqref="J14"/>
    </sheetView>
  </sheetViews>
  <sheetFormatPr defaultRowHeight="14.4"/>
  <cols>
    <col min="1" max="1" width="31" bestFit="1" customWidth="1"/>
    <col min="7" max="7" width="31" bestFit="1" customWidth="1"/>
  </cols>
  <sheetData>
    <row r="2" spans="1:10">
      <c r="A2" t="s">
        <v>20</v>
      </c>
      <c r="G2" t="s">
        <v>17</v>
      </c>
      <c r="H2">
        <f t="shared" ref="H2:H14" si="0">COUNTIF(A:A, G2)</f>
        <v>1</v>
      </c>
      <c r="J2">
        <f>((H2*4 + H3*3) / (H2*4 + H3*3 + H4*2 + H5*1)) * 100</f>
        <v>63.636363636363633</v>
      </c>
    </row>
    <row r="3" spans="1:10">
      <c r="A3" t="s">
        <v>21</v>
      </c>
      <c r="G3" t="s">
        <v>18</v>
      </c>
      <c r="H3">
        <f t="shared" si="0"/>
        <v>1</v>
      </c>
    </row>
    <row r="4" spans="1:10">
      <c r="A4" t="s">
        <v>22</v>
      </c>
      <c r="G4" t="s">
        <v>19</v>
      </c>
      <c r="H4">
        <f t="shared" si="0"/>
        <v>1</v>
      </c>
    </row>
    <row r="5" spans="1:10">
      <c r="A5" t="s">
        <v>23</v>
      </c>
      <c r="G5" t="s">
        <v>20</v>
      </c>
      <c r="H5">
        <f t="shared" si="0"/>
        <v>2</v>
      </c>
    </row>
    <row r="6" spans="1:10">
      <c r="A6" t="s">
        <v>17</v>
      </c>
      <c r="G6" t="s">
        <v>32</v>
      </c>
      <c r="H6">
        <f t="shared" si="0"/>
        <v>2</v>
      </c>
      <c r="J6">
        <f>((H7*3)+(H6*4))/((H6*4) + (H7*3) + (H8*2) + (H9*1))*100</f>
        <v>82.35294117647058</v>
      </c>
    </row>
    <row r="7" spans="1:10">
      <c r="A7" t="s">
        <v>32</v>
      </c>
      <c r="G7" t="s">
        <v>27</v>
      </c>
      <c r="H7">
        <f t="shared" si="0"/>
        <v>2</v>
      </c>
    </row>
    <row r="8" spans="1:10">
      <c r="A8" t="s">
        <v>31</v>
      </c>
      <c r="G8" t="s">
        <v>26</v>
      </c>
      <c r="H8">
        <f t="shared" si="0"/>
        <v>1</v>
      </c>
    </row>
    <row r="9" spans="1:10">
      <c r="A9" t="s">
        <v>30</v>
      </c>
      <c r="G9" t="s">
        <v>21</v>
      </c>
      <c r="H9">
        <f t="shared" si="0"/>
        <v>1</v>
      </c>
    </row>
    <row r="10" spans="1:10">
      <c r="A10" t="s">
        <v>29</v>
      </c>
      <c r="G10" t="s">
        <v>31</v>
      </c>
      <c r="H10">
        <f t="shared" si="0"/>
        <v>2</v>
      </c>
      <c r="J10">
        <f>((H10*3)+(H11*4))/((H10*3) + (H11*4) + (H12*2) + (H13*1))*100</f>
        <v>73.68421052631578</v>
      </c>
    </row>
    <row r="11" spans="1:10">
      <c r="A11" t="s">
        <v>28</v>
      </c>
      <c r="G11" t="s">
        <v>28</v>
      </c>
      <c r="H11">
        <f t="shared" si="0"/>
        <v>2</v>
      </c>
    </row>
    <row r="12" spans="1:10">
      <c r="A12" t="s">
        <v>27</v>
      </c>
      <c r="G12" t="s">
        <v>25</v>
      </c>
      <c r="H12">
        <f t="shared" si="0"/>
        <v>2</v>
      </c>
    </row>
    <row r="13" spans="1:10">
      <c r="A13" t="s">
        <v>26</v>
      </c>
      <c r="G13" t="s">
        <v>22</v>
      </c>
      <c r="H13">
        <f t="shared" si="0"/>
        <v>1</v>
      </c>
    </row>
    <row r="14" spans="1:10">
      <c r="A14" t="s">
        <v>25</v>
      </c>
      <c r="G14" t="s">
        <v>30</v>
      </c>
      <c r="H14">
        <f t="shared" si="0"/>
        <v>2</v>
      </c>
      <c r="J14">
        <f>((H14*3)+(H15*4))/((H14*3) + (H15*4) + (H16*2) + (H17*1))*100</f>
        <v>70</v>
      </c>
    </row>
    <row r="15" spans="1:10">
      <c r="A15" t="s">
        <v>24</v>
      </c>
      <c r="G15" t="s">
        <v>29</v>
      </c>
      <c r="H15">
        <f>COUNTIF(A:A, G15)</f>
        <v>2</v>
      </c>
    </row>
    <row r="16" spans="1:10">
      <c r="A16" t="s">
        <v>23</v>
      </c>
      <c r="G16" t="s">
        <v>24</v>
      </c>
      <c r="H16">
        <f>COUNTIF(A:A, G16)</f>
        <v>2</v>
      </c>
    </row>
    <row r="17" spans="1:8">
      <c r="A17" t="s">
        <v>20</v>
      </c>
      <c r="G17" t="s">
        <v>23</v>
      </c>
      <c r="H17">
        <f>COUNTIF(A:A, G17)</f>
        <v>2</v>
      </c>
    </row>
    <row r="18" spans="1:8">
      <c r="A18" t="s">
        <v>19</v>
      </c>
    </row>
    <row r="19" spans="1:8">
      <c r="A19" t="s">
        <v>18</v>
      </c>
    </row>
    <row r="20" spans="1:8">
      <c r="A20" t="s">
        <v>28</v>
      </c>
    </row>
    <row r="21" spans="1:8">
      <c r="A21" t="s">
        <v>29</v>
      </c>
    </row>
    <row r="22" spans="1:8">
      <c r="A22" t="s">
        <v>24</v>
      </c>
    </row>
    <row r="23" spans="1:8">
      <c r="A23" t="s">
        <v>25</v>
      </c>
    </row>
    <row r="24" spans="1:8">
      <c r="A24" t="s">
        <v>27</v>
      </c>
    </row>
    <row r="25" spans="1:8">
      <c r="A25" t="s">
        <v>32</v>
      </c>
    </row>
    <row r="26" spans="1:8">
      <c r="A26" t="s">
        <v>31</v>
      </c>
    </row>
    <row r="27" spans="1:8">
      <c r="A27" t="s">
        <v>30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E26FD-3157-4EBA-BBAD-6CF08452DE2E}">
  <sheetPr codeName="Planilha4"/>
  <dimension ref="A1:C44"/>
  <sheetViews>
    <sheetView tabSelected="1" topLeftCell="A16" zoomScale="85" zoomScaleNormal="85" workbookViewId="0">
      <selection activeCell="C20" sqref="C20"/>
    </sheetView>
  </sheetViews>
  <sheetFormatPr defaultRowHeight="14.4"/>
  <cols>
    <col min="1" max="1" width="29.77734375" style="2" customWidth="1"/>
    <col min="2" max="2" width="33.109375" style="2" customWidth="1"/>
    <col min="3" max="3" width="8.88671875" style="2"/>
    <col min="4" max="16384" width="8.88671875" style="3"/>
  </cols>
  <sheetData>
    <row r="1" spans="1:3">
      <c r="A1" s="21" t="s">
        <v>9</v>
      </c>
      <c r="B1" s="13" t="s">
        <v>12</v>
      </c>
      <c r="C1" s="14">
        <f>BDjogadas!J2</f>
        <v>63.636363636363633</v>
      </c>
    </row>
    <row r="2" spans="1:3">
      <c r="A2" s="21"/>
      <c r="B2" s="13" t="s">
        <v>13</v>
      </c>
      <c r="C2" s="14">
        <f>IF((COUNTIF(BDjogadas!A:A,"MB GOL TOMADO") + COUNTIF(BDjogadas!A:A,"MB FINALIZACAO CEDIDA") + COUNTIF(BDjogadas!A:A,"MB JOGADA INTERCEPTADA") + COUNTIF(BDjogadas!A:A,"MB RECUPERA"))=0,0,COUNTIF(BDjogadas!A:A,"MB GOL TOMADO")/(COUNTIF(BDjogadas!A:A,"MB GOL TOMADO") + COUNTIF(BDjogadas!A:A,"MB FINALIZACAO CEDIDA") + COUNTIF(BDjogadas!A:A,"MB JOGADA INTERCEPTADA") + COUNTIF(BDjogadas!A:A,"MB RECUPERA"))*100)</f>
        <v>40</v>
      </c>
    </row>
    <row r="3" spans="1:3">
      <c r="A3" s="21"/>
      <c r="B3" s="13" t="s">
        <v>14</v>
      </c>
      <c r="C3" s="14">
        <f>IF((COUNTIF(BDjogadas!A:A,"MB GOL TOMADO") + COUNTIF(BDjogadas!A:A,"MB FINALIZACAO CEDIDA") + COUNTIF(BDjogadas!A:A,"MB JOGADA INTERCEPTADA") + COUNTIF(BDjogadas!A:A,"MB RECUPERA"))=0,0,COUNTIF(BDjogadas!A:A,"MB FINALIZACAO CEDIDA")/(COUNTIF(BDjogadas!A:A,"MB GOL TOMADO") + COUNTIF(BDjogadas!A:A,"MB FINALIZACAO CEDIDA") + COUNTIF(BDjogadas!A:A,"MB JOGADA INTERCEPTADA") + COUNTIF(BDjogadas!A:A,"MB RECUPERA"))*100)</f>
        <v>20</v>
      </c>
    </row>
    <row r="4" spans="1:3">
      <c r="A4" s="21"/>
      <c r="B4" s="13" t="s">
        <v>15</v>
      </c>
      <c r="C4" s="14">
        <f>IF((COUNTIF(BDjogadas!A:A,"MB GOL TOMADO") + COUNTIF(BDjogadas!A:A,"MB FINALIZACAO CEDIDA") + COUNTIF(BDjogadas!A:A,"MB JOGADA INTERCEPTADA") + COUNTIF(BDjogadas!A:A,"MB RECUPERA"))=0,0,COUNTIF(BDjogadas!A:A,"MB JOGADA INTERCEPTADA")/(COUNTIF(BDjogadas!A:A,"MB GOL TOMADO") + COUNTIF(BDjogadas!A:A,"MB FINALIZACAO CEDIDA") + COUNTIF(BDjogadas!A:A,"MB JOGADA INTERCEPTADA") + COUNTIF(BDjogadas!A:A,"MB RECUPERA"))*100)</f>
        <v>20</v>
      </c>
    </row>
    <row r="5" spans="1:3">
      <c r="A5" s="21"/>
      <c r="B5" s="13" t="s">
        <v>16</v>
      </c>
      <c r="C5" s="14">
        <f>IF((COUNTIF(BDjogadas!A:A,"MB GOL TOMADO") + COUNTIF(BDjogadas!A:A,"MB FINALIZACAO CEDIDA") + COUNTIF(BDjogadas!A:A,"MB JOGADA INTERCEPTADA") + COUNTIF(BDjogadas!A:A,"MB RECUPERA"))=0,0,COUNTIF(BDjogadas!A:A,"MB RECUPERA")/(COUNTIF(BDjogadas!A:A,"MB GOL TOMADO") + COUNTIF(BDjogadas!A:A,"MB FINALIZACAO CEDIDA") + COUNTIF(BDjogadas!A:A,"MB JOGADA INTERCEPTADA") + COUNTIF(BDjogadas!A:A,"MB RECUPERA"))*100)</f>
        <v>20</v>
      </c>
    </row>
    <row r="6" spans="1:3">
      <c r="A6" s="9"/>
      <c r="B6" s="9"/>
      <c r="C6" s="10"/>
    </row>
    <row r="7" spans="1:3">
      <c r="A7" s="20" t="s">
        <v>4</v>
      </c>
      <c r="B7" s="15" t="s">
        <v>12</v>
      </c>
      <c r="C7" s="16">
        <f>BDjogadas!J6</f>
        <v>82.35294117647058</v>
      </c>
    </row>
    <row r="8" spans="1:3">
      <c r="A8" s="20"/>
      <c r="B8" s="15" t="s">
        <v>13</v>
      </c>
      <c r="C8" s="16">
        <f>IF((COUNTIF(BDjogadas!A:A,"VARIANDO GOL TOMADO") + COUNTIF(BDjogadas!A:A,"VARIANDO FINALIZACAO CEDIDA") + COUNTIF(BDjogadas!A:A,"VARIANDO JOGADA INTERCEPTADA") + COUNTIF(BDjogadas!A:A,"VARIANDO RECUPERA"))=0,0,COUNTIF(BDjogadas!A:A,"VARIANDO GOL TOMADO")/(COUNTIF(BDjogadas!A:A,"VARIANDO GOL TOMADO") + COUNTIF(BDjogadas!A:A,"VARIANDO FINALIZACAO CEDIDA") + COUNTIF(BDjogadas!A:A,"VARIANDO JOGADA INTERCEPTADA") + COUNTIF(BDjogadas!A:A,"VARIANDO RECUPERA"))*100)</f>
        <v>16.666666666666664</v>
      </c>
    </row>
    <row r="9" spans="1:3">
      <c r="A9" s="20"/>
      <c r="B9" s="15" t="s">
        <v>14</v>
      </c>
      <c r="C9" s="16">
        <f>IF((COUNTIF(BDjogadas!A:A,"VARIANDO GOL TOMADO") + COUNTIF(BDjogadas!A:A,"VARIANDO FINALIZACAO CEDIDA") + COUNTIF(BDjogadas!A:A,"VARIANDO JOGADA INTERCEPTADA") + COUNTIF(BDjogadas!A:A,"VARIANDO RECUPERA"))=0,0,COUNTIF(BDjogadas!A:A,"VARIANDO FINALIZACAO CEDIDA")/(COUNTIF(BDjogadas!A:A,"VARIANDO GOL TOMADO") + COUNTIF(BDjogadas!A:A,"VARIANDO FINALIZACAO CEDIDA") + COUNTIF(BDjogadas!A:A,"VARIANDO JOGADA INTERCEPTADA") + COUNTIF(BDjogadas!A:A,"VARIANDO RECUPERA"))*100)</f>
        <v>16.666666666666664</v>
      </c>
    </row>
    <row r="10" spans="1:3">
      <c r="A10" s="20"/>
      <c r="B10" s="15" t="s">
        <v>15</v>
      </c>
      <c r="C10" s="16">
        <f>IF((COUNTIF(BDjogadas!A:A,"VARIANDO GOL TOMADO") + COUNTIF(BDjogadas!A:A,"VARIANDO FINALIZACAO CEDIDA") + COUNTIF(BDjogadas!A:A,"VARIANDO JOGADA INTERCEPTADA") + COUNTIF(BDjogadas!A:A,"VARIANDO RECUPERA"))=0,0,COUNTIF(BDjogadas!A:A,"VARIANDO JOGADA INTERCEPTADA")/(COUNTIF(BDjogadas!A:A,"VARIANDO GOL TOMADO") + COUNTIF(BDjogadas!A:A,"VARIANDO FINALIZACAO CEDIDA") + COUNTIF(BDjogadas!A:A,"VARIANDO JOGADA INTERCEPTADA") + COUNTIF(BDjogadas!A:A,"VARIANDO RECUPERA"))*100)</f>
        <v>33.333333333333329</v>
      </c>
    </row>
    <row r="11" spans="1:3">
      <c r="A11" s="20"/>
      <c r="B11" s="15" t="s">
        <v>16</v>
      </c>
      <c r="C11" s="16">
        <f>IF((COUNTIF(BDjogadas!A:A,"VARIANDO GOL TOMADO") + COUNTIF(BDjogadas!A:A,"VARIANDO FINALIZACAO CEDIDA") + COUNTIF(BDjogadas!A:A,"VARIANDO JOGADA INTERCEPTADA") + COUNTIF(BDjogadas!A:A,"VARIANDO RECUPERA"))=0,0,COUNTIF(BDjogadas!A:A,"VARIANDO RECUPERA")/(COUNTIF(BDjogadas!A:A,"VARIANDO GOL TOMADO") + COUNTIF(BDjogadas!A:A,"VARIANDO FINALIZACAO CEDIDA") + COUNTIF(BDjogadas!A:A,"VARIANDO JOGADA INTERCEPTADA") + COUNTIF(BDjogadas!A:A,"VARIANDO RECUPERA"))*100)</f>
        <v>33.333333333333329</v>
      </c>
    </row>
    <row r="12" spans="1:3">
      <c r="C12" s="4"/>
    </row>
    <row r="13" spans="1:3">
      <c r="A13" s="22" t="s">
        <v>5</v>
      </c>
      <c r="B13" s="17" t="s">
        <v>12</v>
      </c>
      <c r="C13" s="18">
        <f>BDjogadas!J10</f>
        <v>73.68421052631578</v>
      </c>
    </row>
    <row r="14" spans="1:3">
      <c r="A14" s="22"/>
      <c r="B14" s="17" t="s">
        <v>13</v>
      </c>
      <c r="C14" s="18">
        <f>IF((COUNTIF(BDjogadas!A:A,"PRESSING GOL TOMADO") + COUNTIF(BDjogadas!A:A,"PRESSING FINALIZACAO CEDIDA") + COUNTIF(BDjogadas!A:A,"PRESSING JOGADA INTERCEPTADA") + COUNTIF(BDjogadas!A:A,"PRESSING RECUPERA"))=0,0,COUNTIF(BDjogadas!A:A,"PRESSING GOL TOMADO")/(COUNTIF(BDjogadas!A:A,"PRESSING GOL TOMADO") + COUNTIF(BDjogadas!A:A,"PRESSING FINALIZACAO CEDIDA") + COUNTIF(BDjogadas!A:A,"PRESSING JOGADA INTERCEPTADA") + COUNTIF(BDjogadas!A:A,"PRESSING RECUPERA"))*100)</f>
        <v>14.285714285714285</v>
      </c>
    </row>
    <row r="15" spans="1:3">
      <c r="A15" s="22"/>
      <c r="B15" s="17" t="s">
        <v>14</v>
      </c>
      <c r="C15" s="18">
        <f>IF((COUNTIF(BDjogadas!A:A,"PRESSING GOL TOMADO") + COUNTIF(BDjogadas!A:A,"PRESSING FINALIZACAO CEDIDA") + COUNTIF(BDjogadas!A:A,"PRESSING JOGADA INTERCEPTADA") + COUNTIF(BDjogadas!A:A,"PRESSING RECUPERA"))=0,0,COUNTIF(BDjogadas!A:A,"PRESSING FINALIZACAO CEDIDA")/(COUNTIF(BDjogadas!A:A,"PRESSING GOL TOMADO") + COUNTIF(BDjogadas!A:A,"PRESSING FINALIZACAO CEDIDA") + COUNTIF(BDjogadas!A:A,"PRESSING JOGADA INTERCEPTADA") + COUNTIF(BDjogadas!A:A,"PRESSING RECUPERA"))*100)</f>
        <v>28.571428571428569</v>
      </c>
    </row>
    <row r="16" spans="1:3">
      <c r="A16" s="22"/>
      <c r="B16" s="17" t="s">
        <v>15</v>
      </c>
      <c r="C16" s="18">
        <f>IF((COUNTIF(BDjogadas!A:A,"PRESSING GOL TOMADO") + COUNTIF(BDjogadas!A:A,"PRESSING FINALIZACAO CEDIDA") + COUNTIF(BDjogadas!A:A,"PRESSING JOGADA INTERCEPTADA") + COUNTIF(BDjogadas!A:A,"PRESSING RECUPERA"))=0,0,COUNTIF(BDjogadas!A:A,"PRESSING JOGADA INTERCEPTADA")/(COUNTIF(BDjogadas!A:A,"PRESSING GOL TOMADO") + COUNTIF(BDjogadas!A:A,"PRESSING FINALIZACAO CEDIDA") + COUNTIF(BDjogadas!A:A,"PRESSING JOGADA INTERCEPTADA") + COUNTIF(BDjogadas!A:A,"PRESSING RECUPERA"))*100)</f>
        <v>28.571428571428569</v>
      </c>
    </row>
    <row r="17" spans="1:3">
      <c r="A17" s="22"/>
      <c r="B17" s="17" t="s">
        <v>16</v>
      </c>
      <c r="C17" s="18">
        <f>IF((COUNTIF(BDjogadas!A:A,"PRESSING GOL TOMADO") + COUNTIF(BDjogadas!A:A,"PRESSING FINALIZACAO CEDIDA") + COUNTIF(BDjogadas!A:A,"PRESSING JOGADA INTERCEPTADA") + COUNTIF(BDjogadas!A:A,"PRESSING RECUPERA"))=0,0,COUNTIF(BDjogadas!A:A,"PRESSING RECUPERA")/(COUNTIF(BDjogadas!A:A,"PRESSING GOL TOMADO") + COUNTIF(BDjogadas!A:A,"PRESSING FINALIZACAO CEDIDA") + COUNTIF(BDjogadas!A:A,"PRESSING JOGADA INTERCEPTADA") + COUNTIF(BDjogadas!A:A,"PRESSING RECUPERA"))*100)</f>
        <v>28.571428571428569</v>
      </c>
    </row>
    <row r="18" spans="1:3">
      <c r="C18" s="4"/>
    </row>
    <row r="19" spans="1:3">
      <c r="A19" s="23" t="s">
        <v>0</v>
      </c>
      <c r="B19" s="11" t="s">
        <v>12</v>
      </c>
      <c r="C19" s="12">
        <f>BDjogadas!J14</f>
        <v>70</v>
      </c>
    </row>
    <row r="20" spans="1:3">
      <c r="A20" s="23"/>
      <c r="B20" s="11" t="s">
        <v>13</v>
      </c>
      <c r="C20" s="12">
        <f>IF((COUNTIF(BDjogadas!A:A,"TRANSIÇÃO GOL TOMADO") + COUNTIF(BDjogadas!A:A,"TRANSIÇÃO FINALIZACAO CEDIDA") + COUNTIF(BDjogadas!A:A,"TRANSIÇÃO JOGADA INTERCEPTADA") + COUNTIF(BDjogadas!A:A,"TRANSIÇÃO RECUPERA"))=0,0,COUNTIF(BDjogadas!A:A,"TRANSIÇÃO GOL TOMADO")/(COUNTIF(BDjogadas!A:A,"TRANSIÇÃO GOL TOMADO") + COUNTIF(BDjogadas!A:A,"TRANSIÇÃO FINALIZACAO CEDIDA") + COUNTIF(BDjogadas!A:A,"TRANSIÇÃO JOGADA INTERCEPTADA") + COUNTIF(BDjogadas!A:A,"TRANSIÇÃO RECUPERA"))*100)</f>
        <v>25</v>
      </c>
    </row>
    <row r="21" spans="1:3">
      <c r="A21" s="23"/>
      <c r="B21" s="11" t="s">
        <v>14</v>
      </c>
      <c r="C21" s="12">
        <f>IF((COUNTIF(BDjogadas!A:A,"TRANSIÇÃO GOL TOMADO") + COUNTIF(BDjogadas!A:A,"TRANSIÇÃO FINALIZACAO CEDIDA") + COUNTIF(BDjogadas!A:A,"TRANSIÇÃO JOGADA INTERCEPTADA") + COUNTIF(BDjogadas!A:A,"TRANSIÇÃO RECUPERA"))=0,0,COUNTIF(BDjogadas!A:A,"TRANSIÇÃO FINALIZACAO CEDIDA")/(COUNTIF(BDjogadas!A:A,"TRANSIÇÃO GOL TOMADO") + COUNTIF(BDjogadas!A:A,"TRANSIÇÃO FINALIZACAO CEDIDA") + COUNTIF(BDjogadas!A:A,"TRANSIÇÃO JOGADA INTERCEPTADA") + COUNTIF(BDjogadas!A:A,"TRANSIÇÃO RECUPERA"))*100)</f>
        <v>25</v>
      </c>
    </row>
    <row r="22" spans="1:3">
      <c r="A22" s="23"/>
      <c r="B22" s="11" t="s">
        <v>15</v>
      </c>
      <c r="C22" s="12">
        <f>IF((COUNTIF(BDjogadas!A:A,"TRANSIÇÃO GOL TOMADO") + COUNTIF(BDjogadas!A:A,"TRANSIÇÃO FINALIZACAO CEDIDA") + COUNTIF(BDjogadas!A:A,"TRANSIÇÃO JOGADA INTERCEPTADA") + COUNTIF(BDjogadas!A:A,"TRANSIÇÃO RECUPERA"))=0,0,COUNTIF(BDjogadas!A:A,"TRANSIÇÃO JOGADA INTERCEPTADA")/(COUNTIF(BDjogadas!A:A,"TRANSIÇÃO GOL TOMADO") + COUNTIF(BDjogadas!A:A,"TRANSIÇÃO FINALIZACAO CEDIDA") + COUNTIF(BDjogadas!A:A,"TRANSIÇÃO JOGADA INTERCEPTADA") + COUNTIF(BDjogadas!A:A,"TRANSIÇÃO RECUPERA"))*100)</f>
        <v>25</v>
      </c>
    </row>
    <row r="23" spans="1:3">
      <c r="A23" s="23"/>
      <c r="B23" s="11" t="s">
        <v>16</v>
      </c>
      <c r="C23" s="12">
        <f>IF((COUNTIF(BDjogadas!A:A,"TRANSIÇÃO GOL TOMADO") + COUNTIF(BDjogadas!A:A,"TRANSIÇÃO FINALIZACAO CEDIDA") + COUNTIF(BDjogadas!A:A,"TRANSIÇÃO JOGADA INTERCEPTADA") + COUNTIF(BDjogadas!A:A,"TRANSIÇÃO RECUPERA"))=0,0,COUNTIF(BDjogadas!A:A,"TRANSIÇÃO RECUPERA")/(COUNTIF(BDjogadas!A:A,"TRANSIÇÃO GOL TOMADO") + COUNTIF(BDjogadas!A:A,"TRANSIÇÃO FINALIZACAO CEDIDA") + COUNTIF(BDjogadas!A:A,"TRANSIÇÃO JOGADA INTERCEPTADA") + COUNTIF(BDjogadas!A:A,"TRANSIÇÃO RECUPERA"))*100)</f>
        <v>25</v>
      </c>
    </row>
    <row r="24" spans="1:3">
      <c r="C24" s="4"/>
    </row>
    <row r="25" spans="1:3">
      <c r="A25" s="19" t="s">
        <v>3</v>
      </c>
      <c r="B25" s="2" t="s">
        <v>9</v>
      </c>
      <c r="C25" s="4">
        <f>C1</f>
        <v>63.636363636363633</v>
      </c>
    </row>
    <row r="26" spans="1:3">
      <c r="A26" s="19"/>
      <c r="B26" s="2" t="s">
        <v>2</v>
      </c>
      <c r="C26" s="4">
        <f>C7</f>
        <v>82.35294117647058</v>
      </c>
    </row>
    <row r="27" spans="1:3">
      <c r="A27" s="19"/>
      <c r="B27" s="2" t="s">
        <v>5</v>
      </c>
      <c r="C27" s="4">
        <f>C13</f>
        <v>73.68421052631578</v>
      </c>
    </row>
    <row r="28" spans="1:3">
      <c r="A28" s="19"/>
      <c r="B28" s="2" t="s">
        <v>0</v>
      </c>
      <c r="C28" s="4">
        <f>C19</f>
        <v>70</v>
      </c>
    </row>
    <row r="29" spans="1:3">
      <c r="A29" s="19" t="s">
        <v>8</v>
      </c>
      <c r="B29" s="2" t="s">
        <v>9</v>
      </c>
      <c r="C29" s="4">
        <f>C2</f>
        <v>40</v>
      </c>
    </row>
    <row r="30" spans="1:3">
      <c r="A30" s="19"/>
      <c r="B30" s="2" t="s">
        <v>2</v>
      </c>
      <c r="C30" s="4">
        <f>C8</f>
        <v>16.666666666666664</v>
      </c>
    </row>
    <row r="31" spans="1:3">
      <c r="A31" s="19"/>
      <c r="B31" s="2" t="s">
        <v>5</v>
      </c>
      <c r="C31" s="4">
        <f>C14</f>
        <v>14.285714285714285</v>
      </c>
    </row>
    <row r="32" spans="1:3">
      <c r="A32" s="19"/>
      <c r="B32" s="2" t="s">
        <v>0</v>
      </c>
      <c r="C32" s="4">
        <f>C20</f>
        <v>25</v>
      </c>
    </row>
    <row r="33" spans="1:3">
      <c r="A33" s="19" t="s">
        <v>7</v>
      </c>
      <c r="B33" s="2" t="s">
        <v>9</v>
      </c>
      <c r="C33" s="4">
        <f>C3</f>
        <v>20</v>
      </c>
    </row>
    <row r="34" spans="1:3">
      <c r="A34" s="19"/>
      <c r="B34" s="2" t="s">
        <v>2</v>
      </c>
      <c r="C34" s="4">
        <f>C9</f>
        <v>16.666666666666664</v>
      </c>
    </row>
    <row r="35" spans="1:3">
      <c r="A35" s="19"/>
      <c r="B35" s="2" t="s">
        <v>5</v>
      </c>
      <c r="C35" s="4">
        <f>C15</f>
        <v>28.571428571428569</v>
      </c>
    </row>
    <row r="36" spans="1:3">
      <c r="A36" s="19"/>
      <c r="B36" s="2" t="s">
        <v>0</v>
      </c>
      <c r="C36" s="4">
        <f>C21</f>
        <v>25</v>
      </c>
    </row>
    <row r="37" spans="1:3">
      <c r="A37" s="19" t="s">
        <v>10</v>
      </c>
      <c r="B37" s="2" t="s">
        <v>9</v>
      </c>
      <c r="C37" s="4">
        <f>C4</f>
        <v>20</v>
      </c>
    </row>
    <row r="38" spans="1:3">
      <c r="A38" s="19"/>
      <c r="B38" s="2" t="s">
        <v>2</v>
      </c>
      <c r="C38" s="4">
        <f>C10</f>
        <v>33.333333333333329</v>
      </c>
    </row>
    <row r="39" spans="1:3">
      <c r="A39" s="19"/>
      <c r="B39" s="2" t="s">
        <v>5</v>
      </c>
      <c r="C39" s="4">
        <f>C16</f>
        <v>28.571428571428569</v>
      </c>
    </row>
    <row r="40" spans="1:3">
      <c r="A40" s="19"/>
      <c r="B40" s="2" t="s">
        <v>0</v>
      </c>
      <c r="C40" s="4">
        <f>C22</f>
        <v>25</v>
      </c>
    </row>
    <row r="41" spans="1:3">
      <c r="A41" s="19" t="s">
        <v>6</v>
      </c>
      <c r="B41" s="2" t="s">
        <v>9</v>
      </c>
      <c r="C41" s="4">
        <f>C5</f>
        <v>20</v>
      </c>
    </row>
    <row r="42" spans="1:3">
      <c r="A42" s="19"/>
      <c r="B42" s="2" t="s">
        <v>2</v>
      </c>
      <c r="C42" s="4">
        <f>C11</f>
        <v>33.333333333333329</v>
      </c>
    </row>
    <row r="43" spans="1:3">
      <c r="A43" s="19"/>
      <c r="B43" s="2" t="s">
        <v>5</v>
      </c>
      <c r="C43" s="4">
        <f>C17</f>
        <v>28.571428571428569</v>
      </c>
    </row>
    <row r="44" spans="1:3">
      <c r="A44" s="19"/>
      <c r="B44" s="2" t="s">
        <v>0</v>
      </c>
      <c r="C44" s="4">
        <f>C23</f>
        <v>25</v>
      </c>
    </row>
  </sheetData>
  <mergeCells count="9">
    <mergeCell ref="A41:A44"/>
    <mergeCell ref="A7:A11"/>
    <mergeCell ref="A1:A5"/>
    <mergeCell ref="A13:A17"/>
    <mergeCell ref="A19:A23"/>
    <mergeCell ref="A25:A28"/>
    <mergeCell ref="A29:A32"/>
    <mergeCell ref="A33:A36"/>
    <mergeCell ref="A37:A40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botões</vt:lpstr>
      <vt:lpstr>BDjogadas</vt:lpstr>
      <vt:lpstr>Graf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Pranke</dc:creator>
  <cp:lastModifiedBy>João Antonio Lobler</cp:lastModifiedBy>
  <dcterms:created xsi:type="dcterms:W3CDTF">2025-02-19T17:19:40Z</dcterms:created>
  <dcterms:modified xsi:type="dcterms:W3CDTF">2025-05-29T12:49:40Z</dcterms:modified>
</cp:coreProperties>
</file>