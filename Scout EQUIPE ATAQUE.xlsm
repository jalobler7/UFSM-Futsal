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lob\OneDrive\Área de Trabalho\Projeto UFSM FUTSAL\"/>
    </mc:Choice>
  </mc:AlternateContent>
  <xr:revisionPtr revIDLastSave="0" documentId="13_ncr:1_{252EC570-FF3F-458E-B28F-8B35AAE96542}" xr6:coauthVersionLast="47" xr6:coauthVersionMax="47" xr10:uidLastSave="{00000000-0000-0000-0000-000000000000}"/>
  <bookViews>
    <workbookView xWindow="-108" yWindow="-108" windowWidth="23256" windowHeight="12456" activeTab="1" xr2:uid="{CBCF74E8-AC25-47BC-AF82-1B0D868BD4FF}"/>
  </bookViews>
  <sheets>
    <sheet name="botões" sheetId="1" r:id="rId1"/>
    <sheet name="BDjogadas" sheetId="9" r:id="rId2"/>
    <sheet name="Graf" sheetId="8" r:id="rId3"/>
  </sheets>
  <definedNames>
    <definedName name="_xleta.T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8" l="1"/>
  <c r="C19" i="8"/>
  <c r="C18" i="8"/>
  <c r="C17" i="8"/>
  <c r="C15" i="8"/>
  <c r="C14" i="8"/>
  <c r="C13" i="8"/>
  <c r="C12" i="8"/>
  <c r="C10" i="8"/>
  <c r="C9" i="8"/>
  <c r="C8" i="8"/>
  <c r="C7" i="8"/>
  <c r="C5" i="8"/>
  <c r="C4" i="8"/>
  <c r="C3" i="8"/>
  <c r="C2" i="8"/>
  <c r="H17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2" i="9"/>
  <c r="J6" i="9" l="1"/>
  <c r="C6" i="8" s="1"/>
  <c r="J14" i="9"/>
  <c r="C16" i="8" s="1"/>
  <c r="J10" i="9"/>
  <c r="C11" i="8" s="1"/>
  <c r="J2" i="9"/>
  <c r="C1" i="8" s="1"/>
  <c r="C41" i="8"/>
  <c r="C30" i="8"/>
  <c r="C31" i="8"/>
  <c r="C32" i="8"/>
  <c r="C37" i="8" l="1"/>
  <c r="C24" i="8"/>
  <c r="C38" i="8"/>
  <c r="C27" i="8"/>
  <c r="C35" i="8"/>
  <c r="C39" i="8"/>
  <c r="C33" i="8"/>
  <c r="C40" i="8"/>
  <c r="C34" i="8"/>
  <c r="C23" i="8"/>
  <c r="C29" i="8"/>
  <c r="C26" i="8"/>
  <c r="C42" i="8"/>
  <c r="C36" i="8"/>
  <c r="C28" i="8"/>
  <c r="C25" i="8"/>
</calcChain>
</file>

<file path=xl/sharedStrings.xml><?xml version="1.0" encoding="utf-8"?>
<sst xmlns="http://schemas.openxmlformats.org/spreadsheetml/2006/main" count="75" uniqueCount="29">
  <si>
    <t>ATAQUE</t>
  </si>
  <si>
    <t>ATAQUE POSICIONAL</t>
  </si>
  <si>
    <t>SDP</t>
  </si>
  <si>
    <t>TRANSIÇÃO</t>
  </si>
  <si>
    <t>PERDA DE POSSE</t>
  </si>
  <si>
    <t>FINALIZAÇÃO</t>
  </si>
  <si>
    <t>GOL</t>
  </si>
  <si>
    <t>EFICIÊNCIA</t>
  </si>
  <si>
    <t>EFICIÊNCIAS</t>
  </si>
  <si>
    <t>POSSE MANTIDA OU PROGRESSÃO</t>
  </si>
  <si>
    <t>GOLEIRO</t>
  </si>
  <si>
    <t>MANUTENÇÃO</t>
  </si>
  <si>
    <t>,</t>
  </si>
  <si>
    <t>AP PERDA DE POSSE</t>
  </si>
  <si>
    <t>AP POSSE MANTIDA OU PROGRESSÃO</t>
  </si>
  <si>
    <t>AP FINALIZAÇÃO</t>
  </si>
  <si>
    <t>AP GOL</t>
  </si>
  <si>
    <t>SDP PERDA DE POSSE</t>
  </si>
  <si>
    <t>SDP POSSE MANTIDA OU PROGRESSÃO</t>
  </si>
  <si>
    <t>SDP FINALIZAÇÃO</t>
  </si>
  <si>
    <t>SDP GOL</t>
  </si>
  <si>
    <t>TRANSIÇÃO PERDA DE POSSE</t>
  </si>
  <si>
    <t>TRANSIÇÃO POSSE MANTIDA OU PROGRESSÃO</t>
  </si>
  <si>
    <t>TRANSIÇÃO FINALIZAÇÃO</t>
  </si>
  <si>
    <t>TRANSIÇÃO GOL</t>
  </si>
  <si>
    <t>GOLEIRO PERDA DE POSSE</t>
  </si>
  <si>
    <t>GOLEIRO POSSE MANTIDA OU PROGRESSÃO</t>
  </si>
  <si>
    <t>GOLEIRO FINALIZAÇÃO</t>
  </si>
  <si>
    <t>GOLEIRO GOL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</si>
</sst>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venir Next LT Pro"/>
      <family val="2"/>
    </font>
    <font>
      <sz val="11"/>
      <color theme="1"/>
      <name val="Avenir Next LT Pro"/>
      <family val="2"/>
    </font>
    <font>
      <sz val="12"/>
      <color rgb="FF000000"/>
      <name val="Avenir Next LT Pro"/>
      <family val="2"/>
    </font>
    <font>
      <b/>
      <sz val="14"/>
      <color theme="1"/>
      <name val="Avenir Next LT Pro"/>
      <family val="2"/>
    </font>
    <font>
      <b/>
      <sz val="11"/>
      <color theme="0"/>
      <name val="Avenir Next LT Pro"/>
      <family val="2"/>
    </font>
    <font>
      <b/>
      <sz val="12"/>
      <color rgb="FF000000"/>
      <name val="Avenir Next LT Pro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1" fillId="3" borderId="0" xfId="0" applyFont="1" applyFill="1"/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64" fontId="2" fillId="5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164" fontId="2" fillId="8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ATAQUE POSICIONAL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Graf!$B$1:$B$5</c:f>
              <c:strCache>
                <c:ptCount val="5"/>
                <c:pt idx="0">
                  <c:v>EFICIÊNCIA</c:v>
                </c:pt>
                <c:pt idx="1">
                  <c:v>PERDA DE POSSE</c:v>
                </c:pt>
                <c:pt idx="2">
                  <c:v>MANUTENÇÃO</c:v>
                </c:pt>
                <c:pt idx="3">
                  <c:v>FINALIZAÇÃO</c:v>
                </c:pt>
                <c:pt idx="4">
                  <c:v>GOL</c:v>
                </c:pt>
              </c:strCache>
            </c:strRef>
          </c:cat>
          <c:val>
            <c:numRef>
              <c:f>Graf!$C$1:$C$5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0-4BA4-A17D-21C2D1A242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SAÍDA DE PRESSÃO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Graf!$B$6:$B$10</c:f>
              <c:strCache>
                <c:ptCount val="5"/>
                <c:pt idx="0">
                  <c:v>EFICIÊNCIA</c:v>
                </c:pt>
                <c:pt idx="1">
                  <c:v>PERDA DE POSSE</c:v>
                </c:pt>
                <c:pt idx="2">
                  <c:v>MANUTENÇÃO</c:v>
                </c:pt>
                <c:pt idx="3">
                  <c:v>FINALIZAÇÃO</c:v>
                </c:pt>
                <c:pt idx="4">
                  <c:v>GOL</c:v>
                </c:pt>
              </c:strCache>
            </c:strRef>
          </c:cat>
          <c:val>
            <c:numRef>
              <c:f>Graf!$C$6:$C$10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F-4A79-A00C-85C251E404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50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TRANSIÇÃO OFENSIVA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Graf!$B$11:$B$15</c:f>
              <c:strCache>
                <c:ptCount val="5"/>
                <c:pt idx="0">
                  <c:v>EFICIÊNCIA</c:v>
                </c:pt>
                <c:pt idx="1">
                  <c:v>PERDA DE POSSE</c:v>
                </c:pt>
                <c:pt idx="2">
                  <c:v>MANUTENÇÃO</c:v>
                </c:pt>
                <c:pt idx="3">
                  <c:v>FINALIZAÇÃO</c:v>
                </c:pt>
                <c:pt idx="4">
                  <c:v>GOL</c:v>
                </c:pt>
              </c:strCache>
            </c:strRef>
          </c:cat>
          <c:val>
            <c:numRef>
              <c:f>Graf!$C$11:$C$15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7-45DD-807C-AA2D68A682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EFICIÊNCIAS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(Graf!$A$1,Graf!$A$6,Graf!$A$11,Graf!$A$16)</c:f>
              <c:strCache>
                <c:ptCount val="4"/>
                <c:pt idx="0">
                  <c:v>ATAQUE POSICIONAL</c:v>
                </c:pt>
                <c:pt idx="1">
                  <c:v>SDP</c:v>
                </c:pt>
                <c:pt idx="2">
                  <c:v>TRANSIÇÃO</c:v>
                </c:pt>
                <c:pt idx="3">
                  <c:v>GOLEIRO</c:v>
                </c:pt>
              </c:strCache>
            </c:strRef>
          </c:cat>
          <c:val>
            <c:numRef>
              <c:f>(Graf!$C$1,Graf!$C$6,Graf!$C$11,Graf!$C$16)</c:f>
              <c:numCache>
                <c:formatCode>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9-41CE-A018-0A1E5F86F2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Graf!$A$1:$B$20</c:f>
              <c:multiLvlStrCache>
                <c:ptCount val="20"/>
                <c:lvl>
                  <c:pt idx="0">
                    <c:v>EFICIÊNCIA</c:v>
                  </c:pt>
                  <c:pt idx="1">
                    <c:v>PERDA DE POSSE</c:v>
                  </c:pt>
                  <c:pt idx="2">
                    <c:v>MANUTENÇÃO</c:v>
                  </c:pt>
                  <c:pt idx="3">
                    <c:v>FINALIZAÇÃO</c:v>
                  </c:pt>
                  <c:pt idx="4">
                    <c:v>GOL</c:v>
                  </c:pt>
                  <c:pt idx="5">
                    <c:v>EFICIÊNCIA</c:v>
                  </c:pt>
                  <c:pt idx="6">
                    <c:v>PERDA DE POSSE</c:v>
                  </c:pt>
                  <c:pt idx="7">
                    <c:v>MANUTENÇÃO</c:v>
                  </c:pt>
                  <c:pt idx="8">
                    <c:v>FINALIZAÇÃO</c:v>
                  </c:pt>
                  <c:pt idx="9">
                    <c:v>GOL</c:v>
                  </c:pt>
                  <c:pt idx="10">
                    <c:v>EFICIÊNCIA</c:v>
                  </c:pt>
                  <c:pt idx="11">
                    <c:v>PERDA DE POSSE</c:v>
                  </c:pt>
                  <c:pt idx="12">
                    <c:v>MANUTENÇÃO</c:v>
                  </c:pt>
                  <c:pt idx="13">
                    <c:v>FINALIZAÇÃO</c:v>
                  </c:pt>
                  <c:pt idx="14">
                    <c:v>GOL</c:v>
                  </c:pt>
                  <c:pt idx="15">
                    <c:v>EFICIÊNCIA</c:v>
                  </c:pt>
                  <c:pt idx="16">
                    <c:v>PERDA DE POSSE</c:v>
                  </c:pt>
                  <c:pt idx="17">
                    <c:v>MANUTENÇÃO</c:v>
                  </c:pt>
                  <c:pt idx="18">
                    <c:v>FINALIZAÇÃO</c:v>
                  </c:pt>
                  <c:pt idx="19">
                    <c:v>GOL</c:v>
                  </c:pt>
                </c:lvl>
                <c:lvl>
                  <c:pt idx="0">
                    <c:v>ATAQUE POSICIONAL</c:v>
                  </c:pt>
                  <c:pt idx="5">
                    <c:v>SDP</c:v>
                  </c:pt>
                  <c:pt idx="10">
                    <c:v>TRANSIÇÃO</c:v>
                  </c:pt>
                  <c:pt idx="15">
                    <c:v>GOLEIRO</c:v>
                  </c:pt>
                </c:lvl>
              </c:multiLvlStrCache>
            </c:multiLvlStrRef>
          </c:cat>
          <c:val>
            <c:numRef>
              <c:f>Graf!$C$1:$C$20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B-46C6-9F33-E13876AAD5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4426015"/>
        <c:axId val="894421695"/>
      </c:barChart>
      <c:catAx>
        <c:axId val="89442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421695"/>
        <c:crosses val="autoZero"/>
        <c:auto val="1"/>
        <c:lblAlgn val="ctr"/>
        <c:lblOffset val="100"/>
        <c:noMultiLvlLbl val="0"/>
      </c:catAx>
      <c:valAx>
        <c:axId val="8944216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9442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Graf!$A$23:$B$41</c:f>
              <c:multiLvlStrCache>
                <c:ptCount val="19"/>
                <c:lvl>
                  <c:pt idx="0">
                    <c:v>ATAQUE POSICIONAL</c:v>
                  </c:pt>
                  <c:pt idx="1">
                    <c:v>SDP</c:v>
                  </c:pt>
                  <c:pt idx="2">
                    <c:v>TRANSIÇÃO</c:v>
                  </c:pt>
                  <c:pt idx="3">
                    <c:v>GOLEIRO</c:v>
                  </c:pt>
                  <c:pt idx="4">
                    <c:v>ATAQUE POSICIONAL</c:v>
                  </c:pt>
                  <c:pt idx="5">
                    <c:v>SDP</c:v>
                  </c:pt>
                  <c:pt idx="6">
                    <c:v>TRANSIÇÃO</c:v>
                  </c:pt>
                  <c:pt idx="7">
                    <c:v>GOLEIRO</c:v>
                  </c:pt>
                  <c:pt idx="8">
                    <c:v>ATAQUE POSICIONAL</c:v>
                  </c:pt>
                  <c:pt idx="9">
                    <c:v>SDP</c:v>
                  </c:pt>
                  <c:pt idx="10">
                    <c:v>TRANSIÇÃO</c:v>
                  </c:pt>
                  <c:pt idx="11">
                    <c:v>GOLEIRO</c:v>
                  </c:pt>
                  <c:pt idx="12">
                    <c:v>ATAQUE POSICIONAL</c:v>
                  </c:pt>
                  <c:pt idx="13">
                    <c:v>SDP</c:v>
                  </c:pt>
                  <c:pt idx="14">
                    <c:v>TRANSIÇÃO</c:v>
                  </c:pt>
                  <c:pt idx="15">
                    <c:v>GOLEIRO</c:v>
                  </c:pt>
                  <c:pt idx="16">
                    <c:v>ATAQUE POSICIONAL</c:v>
                  </c:pt>
                  <c:pt idx="17">
                    <c:v>SDP</c:v>
                  </c:pt>
                  <c:pt idx="18">
                    <c:v>TRANSIÇÃO</c:v>
                  </c:pt>
                </c:lvl>
                <c:lvl>
                  <c:pt idx="0">
                    <c:v>EFICIÊNCIAS</c:v>
                  </c:pt>
                  <c:pt idx="4">
                    <c:v>PERDA DE POSSE</c:v>
                  </c:pt>
                  <c:pt idx="8">
                    <c:v>MANUTENÇÃO</c:v>
                  </c:pt>
                  <c:pt idx="12">
                    <c:v>FINALIZAÇÃO</c:v>
                  </c:pt>
                  <c:pt idx="16">
                    <c:v>GOL</c:v>
                  </c:pt>
                </c:lvl>
              </c:multiLvlStrCache>
            </c:multiLvlStrRef>
          </c:cat>
          <c:val>
            <c:numRef>
              <c:f>Graf!$C$23:$C$41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9-49C3-BDB6-AA9AD0F05D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4426015"/>
        <c:axId val="894421695"/>
      </c:barChart>
      <c:catAx>
        <c:axId val="89442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421695"/>
        <c:crosses val="autoZero"/>
        <c:auto val="1"/>
        <c:lblAlgn val="ctr"/>
        <c:lblOffset val="100"/>
        <c:noMultiLvlLbl val="0"/>
      </c:catAx>
      <c:valAx>
        <c:axId val="8944216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9442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GOLEIRO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66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Graf!$B$16:$B$20</c:f>
              <c:strCache>
                <c:ptCount val="5"/>
                <c:pt idx="0">
                  <c:v>EFICIÊNCIA</c:v>
                </c:pt>
                <c:pt idx="1">
                  <c:v>PERDA DE POSSE</c:v>
                </c:pt>
                <c:pt idx="2">
                  <c:v>MANUTENÇÃO</c:v>
                </c:pt>
                <c:pt idx="3">
                  <c:v>FINALIZAÇÃO</c:v>
                </c:pt>
                <c:pt idx="4">
                  <c:v>GOL</c:v>
                </c:pt>
              </c:strCache>
            </c:strRef>
          </c:cat>
          <c:val>
            <c:numRef>
              <c:f>Graf!$C$16:$C$20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49-4CEF-91C1-0E91D8FF67F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9900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1</xdr:row>
          <xdr:rowOff>68580</xdr:rowOff>
        </xdr:from>
        <xdr:to>
          <xdr:col>2</xdr:col>
          <xdr:colOff>1584960</xdr:colOff>
          <xdr:row>1</xdr:row>
          <xdr:rowOff>899160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AP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PERDA DE POSSE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68580</xdr:rowOff>
        </xdr:from>
        <xdr:to>
          <xdr:col>4</xdr:col>
          <xdr:colOff>1592580</xdr:colOff>
          <xdr:row>1</xdr:row>
          <xdr:rowOff>899160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AP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1</xdr:row>
          <xdr:rowOff>68580</xdr:rowOff>
        </xdr:from>
        <xdr:to>
          <xdr:col>5</xdr:col>
          <xdr:colOff>1600200</xdr:colOff>
          <xdr:row>1</xdr:row>
          <xdr:rowOff>899160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AP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2</xdr:row>
          <xdr:rowOff>68580</xdr:rowOff>
        </xdr:from>
        <xdr:to>
          <xdr:col>2</xdr:col>
          <xdr:colOff>1584960</xdr:colOff>
          <xdr:row>2</xdr:row>
          <xdr:rowOff>899160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PERDA DE POSSE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68580</xdr:rowOff>
        </xdr:from>
        <xdr:to>
          <xdr:col>4</xdr:col>
          <xdr:colOff>1592580</xdr:colOff>
          <xdr:row>2</xdr:row>
          <xdr:rowOff>899160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2</xdr:row>
          <xdr:rowOff>68580</xdr:rowOff>
        </xdr:from>
        <xdr:to>
          <xdr:col>5</xdr:col>
          <xdr:colOff>1600200</xdr:colOff>
          <xdr:row>2</xdr:row>
          <xdr:rowOff>899160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3</xdr:row>
          <xdr:rowOff>68580</xdr:rowOff>
        </xdr:from>
        <xdr:to>
          <xdr:col>2</xdr:col>
          <xdr:colOff>1584960</xdr:colOff>
          <xdr:row>3</xdr:row>
          <xdr:rowOff>891540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PERDA DE POSSE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68580</xdr:rowOff>
        </xdr:from>
        <xdr:to>
          <xdr:col>4</xdr:col>
          <xdr:colOff>1592580</xdr:colOff>
          <xdr:row>3</xdr:row>
          <xdr:rowOff>891540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3</xdr:row>
          <xdr:rowOff>68580</xdr:rowOff>
        </xdr:from>
        <xdr:to>
          <xdr:col>5</xdr:col>
          <xdr:colOff>1600200</xdr:colOff>
          <xdr:row>3</xdr:row>
          <xdr:rowOff>891540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68580</xdr:rowOff>
        </xdr:from>
        <xdr:to>
          <xdr:col>3</xdr:col>
          <xdr:colOff>1592580</xdr:colOff>
          <xdr:row>1</xdr:row>
          <xdr:rowOff>899160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AP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POSSE MANTIDA OU PROGRESSÃO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2</xdr:row>
          <xdr:rowOff>68580</xdr:rowOff>
        </xdr:from>
        <xdr:to>
          <xdr:col>3</xdr:col>
          <xdr:colOff>1592580</xdr:colOff>
          <xdr:row>2</xdr:row>
          <xdr:rowOff>899160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SDP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POSSE MANTIDA OU PROGRESSÃO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</xdr:row>
          <xdr:rowOff>68580</xdr:rowOff>
        </xdr:from>
        <xdr:to>
          <xdr:col>3</xdr:col>
          <xdr:colOff>1592580</xdr:colOff>
          <xdr:row>3</xdr:row>
          <xdr:rowOff>891540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POSSE MANTIDA OU PROGRESSÃO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4</xdr:row>
          <xdr:rowOff>76200</xdr:rowOff>
        </xdr:from>
        <xdr:to>
          <xdr:col>2</xdr:col>
          <xdr:colOff>1584960</xdr:colOff>
          <xdr:row>4</xdr:row>
          <xdr:rowOff>899160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GOLEIRO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PERDA DE POSSE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4</xdr:row>
          <xdr:rowOff>76200</xdr:rowOff>
        </xdr:from>
        <xdr:to>
          <xdr:col>4</xdr:col>
          <xdr:colOff>1592580</xdr:colOff>
          <xdr:row>4</xdr:row>
          <xdr:rowOff>899160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GOLEIRO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4</xdr:row>
          <xdr:rowOff>76200</xdr:rowOff>
        </xdr:from>
        <xdr:to>
          <xdr:col>5</xdr:col>
          <xdr:colOff>1600200</xdr:colOff>
          <xdr:row>4</xdr:row>
          <xdr:rowOff>899160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GOLEIRO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4</xdr:row>
          <xdr:rowOff>76200</xdr:rowOff>
        </xdr:from>
        <xdr:to>
          <xdr:col>3</xdr:col>
          <xdr:colOff>1592580</xdr:colOff>
          <xdr:row>4</xdr:row>
          <xdr:rowOff>899160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GOLEIRO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POSSE MANTIDA OU PROGRESSÃO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0</xdr:row>
      <xdr:rowOff>121920</xdr:rowOff>
    </xdr:from>
    <xdr:to>
      <xdr:col>5</xdr:col>
      <xdr:colOff>281940</xdr:colOff>
      <xdr:row>3</xdr:row>
      <xdr:rowOff>76200</xdr:rowOff>
    </xdr:to>
    <xdr:sp macro="[0]!ZerarBDjogadas" textlink="">
      <xdr:nvSpPr>
        <xdr:cNvPr id="3" name="Retângulo 2">
          <a:extLst>
            <a:ext uri="{FF2B5EF4-FFF2-40B4-BE49-F238E27FC236}">
              <a16:creationId xmlns:a16="http://schemas.microsoft.com/office/drawing/2014/main" id="{6E8E054A-D2F1-4224-A8B8-FDC5CF09FF46}"/>
            </a:ext>
          </a:extLst>
        </xdr:cNvPr>
        <xdr:cNvSpPr/>
      </xdr:nvSpPr>
      <xdr:spPr>
        <a:xfrm>
          <a:off x="1630680" y="121920"/>
          <a:ext cx="2301240" cy="50292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ZERAR PLANILHA</a:t>
          </a:r>
        </a:p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26670</xdr:rowOff>
    </xdr:from>
    <xdr:to>
      <xdr:col>9</xdr:col>
      <xdr:colOff>342900</xdr:colOff>
      <xdr:row>8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3CA41D-3DE5-7B53-C20A-4DB6E8C80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601980</xdr:colOff>
      <xdr:row>9</xdr:row>
      <xdr:rowOff>7620</xdr:rowOff>
    </xdr:from>
    <xdr:to>
      <xdr:col>9</xdr:col>
      <xdr:colOff>335280</xdr:colOff>
      <xdr:row>17</xdr:row>
      <xdr:rowOff>125730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AA97FF-9FB2-47CD-A79D-A4DF1997D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601980</xdr:colOff>
      <xdr:row>17</xdr:row>
      <xdr:rowOff>160020</xdr:rowOff>
    </xdr:from>
    <xdr:to>
      <xdr:col>9</xdr:col>
      <xdr:colOff>335280</xdr:colOff>
      <xdr:row>26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DDBD571-E6E0-4FE0-B21B-108D3C882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27016</xdr:colOff>
      <xdr:row>35</xdr:row>
      <xdr:rowOff>87977</xdr:rowOff>
    </xdr:from>
    <xdr:to>
      <xdr:col>9</xdr:col>
      <xdr:colOff>369916</xdr:colOff>
      <xdr:row>44</xdr:row>
      <xdr:rowOff>23207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B6C4AC-785C-422F-A27F-1B972E3EE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403860</xdr:colOff>
      <xdr:row>0</xdr:row>
      <xdr:rowOff>26670</xdr:rowOff>
    </xdr:from>
    <xdr:to>
      <xdr:col>21</xdr:col>
      <xdr:colOff>0</xdr:colOff>
      <xdr:row>17</xdr:row>
      <xdr:rowOff>137160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344A784-C773-1CC0-60BF-F23300ADF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396240</xdr:colOff>
      <xdr:row>17</xdr:row>
      <xdr:rowOff>167640</xdr:rowOff>
    </xdr:from>
    <xdr:to>
      <xdr:col>21</xdr:col>
      <xdr:colOff>0</xdr:colOff>
      <xdr:row>35</xdr:row>
      <xdr:rowOff>53340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F65523E-A50E-4076-8DB2-B7A9CCA9E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6927</xdr:colOff>
      <xdr:row>26</xdr:row>
      <xdr:rowOff>117763</xdr:rowOff>
    </xdr:from>
    <xdr:to>
      <xdr:col>9</xdr:col>
      <xdr:colOff>349827</xdr:colOff>
      <xdr:row>35</xdr:row>
      <xdr:rowOff>52992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E94EB99-F339-4F50-A870-F6F7EC3119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CFC2-F5A7-4556-BE8F-1625A2D01647}">
  <sheetPr codeName="Planilha1"/>
  <dimension ref="A1:I16"/>
  <sheetViews>
    <sheetView zoomScale="85" zoomScaleNormal="85" workbookViewId="0">
      <selection activeCell="H3" sqref="H3"/>
    </sheetView>
  </sheetViews>
  <sheetFormatPr defaultRowHeight="56.4" customHeight="1" x14ac:dyDescent="0.3"/>
  <cols>
    <col min="1" max="1" width="8.88671875" style="1"/>
    <col min="2" max="2" width="26.44140625" style="1" customWidth="1"/>
    <col min="3" max="6" width="24.6640625" style="1" customWidth="1"/>
    <col min="7" max="7" width="8.88671875" style="2"/>
    <col min="8" max="8" width="33.6640625" style="2" customWidth="1"/>
    <col min="9" max="9" width="20.88671875" style="2" customWidth="1"/>
    <col min="10" max="16384" width="8.88671875" style="1"/>
  </cols>
  <sheetData>
    <row r="1" spans="1:9" ht="78.599999999999994" customHeight="1" x14ac:dyDescent="0.3">
      <c r="A1" s="7"/>
      <c r="B1" s="5" t="s">
        <v>0</v>
      </c>
      <c r="C1" s="6" t="s">
        <v>4</v>
      </c>
      <c r="D1" s="6" t="s">
        <v>9</v>
      </c>
      <c r="E1" s="6" t="s">
        <v>5</v>
      </c>
      <c r="F1" s="6" t="s">
        <v>6</v>
      </c>
      <c r="G1" s="3"/>
      <c r="H1" s="3"/>
      <c r="I1" s="3"/>
    </row>
    <row r="2" spans="1:9" ht="75" customHeight="1" x14ac:dyDescent="0.3">
      <c r="A2" s="7"/>
      <c r="B2" s="6" t="s">
        <v>1</v>
      </c>
      <c r="C2" s="4" t="s">
        <v>12</v>
      </c>
      <c r="D2" s="4"/>
      <c r="E2" s="4"/>
      <c r="F2" s="4"/>
    </row>
    <row r="3" spans="1:9" ht="75" customHeight="1" x14ac:dyDescent="0.3">
      <c r="A3" s="7"/>
      <c r="B3" s="6" t="s">
        <v>2</v>
      </c>
      <c r="C3" s="4"/>
      <c r="D3" s="4"/>
      <c r="E3" s="4"/>
      <c r="F3" s="4"/>
    </row>
    <row r="4" spans="1:9" ht="75" customHeight="1" x14ac:dyDescent="0.3">
      <c r="A4" s="7"/>
      <c r="B4" s="6" t="s">
        <v>3</v>
      </c>
      <c r="C4" s="4"/>
      <c r="D4" s="4"/>
      <c r="E4" s="4"/>
      <c r="F4" s="4"/>
    </row>
    <row r="5" spans="1:9" ht="75" customHeight="1" x14ac:dyDescent="0.3">
      <c r="A5" s="7"/>
      <c r="B5" s="6" t="s">
        <v>10</v>
      </c>
      <c r="C5" s="4"/>
      <c r="D5" s="4"/>
      <c r="E5" s="4"/>
      <c r="F5" s="4"/>
    </row>
    <row r="6" spans="1:9" ht="56.4" customHeight="1" x14ac:dyDescent="0.3">
      <c r="A6" s="7"/>
      <c r="B6" s="7"/>
      <c r="C6" s="7"/>
      <c r="D6" s="7"/>
      <c r="E6" s="7"/>
      <c r="F6" s="7"/>
    </row>
    <row r="10" spans="1:9" ht="56.4" customHeight="1" x14ac:dyDescent="0.3">
      <c r="C10" s="2"/>
      <c r="D10" s="2"/>
      <c r="E10" s="2"/>
    </row>
    <row r="11" spans="1:9" ht="56.4" customHeight="1" x14ac:dyDescent="0.3">
      <c r="C11" s="2"/>
      <c r="D11" s="2"/>
      <c r="E11" s="2"/>
    </row>
    <row r="12" spans="1:9" ht="56.4" customHeight="1" x14ac:dyDescent="0.3">
      <c r="C12" s="2"/>
      <c r="D12" s="2"/>
      <c r="E12" s="2"/>
    </row>
    <row r="13" spans="1:9" ht="56.4" customHeight="1" x14ac:dyDescent="0.3">
      <c r="C13" s="2"/>
      <c r="D13" s="2"/>
      <c r="E13" s="2"/>
    </row>
    <row r="14" spans="1:9" ht="56.4" customHeight="1" x14ac:dyDescent="0.3">
      <c r="C14" s="2"/>
      <c r="D14" s="2"/>
      <c r="E14" s="2"/>
    </row>
    <row r="15" spans="1:9" ht="56.4" customHeight="1" x14ac:dyDescent="0.3">
      <c r="C15" s="2"/>
      <c r="D15" s="2"/>
      <c r="E15" s="2"/>
    </row>
    <row r="16" spans="1:9" ht="56.4" customHeight="1" x14ac:dyDescent="0.3">
      <c r="C16" s="2"/>
      <c r="D16" s="2"/>
      <c r="E16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Botao_AP_PerdePosse">
                <anchor moveWithCells="1" sizeWithCells="1">
                  <from>
                    <xdr:col>2</xdr:col>
                    <xdr:colOff>144780</xdr:colOff>
                    <xdr:row>1</xdr:row>
                    <xdr:rowOff>68580</xdr:rowOff>
                  </from>
                  <to>
                    <xdr:col>2</xdr:col>
                    <xdr:colOff>1584960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Botao_AP_Finalizacao">
                <anchor moveWithCells="1" sizeWithCells="1">
                  <from>
                    <xdr:col>4</xdr:col>
                    <xdr:colOff>152400</xdr:colOff>
                    <xdr:row>1</xdr:row>
                    <xdr:rowOff>68580</xdr:rowOff>
                  </from>
                  <to>
                    <xdr:col>4</xdr:col>
                    <xdr:colOff>1592580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Botao_AP_Gol">
                <anchor moveWithCells="1" sizeWithCells="1">
                  <from>
                    <xdr:col>5</xdr:col>
                    <xdr:colOff>160020</xdr:colOff>
                    <xdr:row>1</xdr:row>
                    <xdr:rowOff>68580</xdr:rowOff>
                  </from>
                  <to>
                    <xdr:col>5</xdr:col>
                    <xdr:colOff>1600200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otao_SDP_PerdePosse">
                <anchor moveWithCells="1" sizeWithCells="1">
                  <from>
                    <xdr:col>2</xdr:col>
                    <xdr:colOff>144780</xdr:colOff>
                    <xdr:row>2</xdr:row>
                    <xdr:rowOff>68580</xdr:rowOff>
                  </from>
                  <to>
                    <xdr:col>2</xdr:col>
                    <xdr:colOff>1584960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otao_SDP_Finalizacao">
                <anchor moveWithCells="1" sizeWithCells="1">
                  <from>
                    <xdr:col>4</xdr:col>
                    <xdr:colOff>152400</xdr:colOff>
                    <xdr:row>2</xdr:row>
                    <xdr:rowOff>68580</xdr:rowOff>
                  </from>
                  <to>
                    <xdr:col>4</xdr:col>
                    <xdr:colOff>1592580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otao_SDP_Gol">
                <anchor moveWithCells="1" sizeWithCells="1">
                  <from>
                    <xdr:col>5</xdr:col>
                    <xdr:colOff>160020</xdr:colOff>
                    <xdr:row>2</xdr:row>
                    <xdr:rowOff>68580</xdr:rowOff>
                  </from>
                  <to>
                    <xdr:col>5</xdr:col>
                    <xdr:colOff>1600200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otao_Transicao_PerdePosse">
                <anchor moveWithCells="1" sizeWithCells="1">
                  <from>
                    <xdr:col>2</xdr:col>
                    <xdr:colOff>144780</xdr:colOff>
                    <xdr:row>3</xdr:row>
                    <xdr:rowOff>68580</xdr:rowOff>
                  </from>
                  <to>
                    <xdr:col>2</xdr:col>
                    <xdr:colOff>1584960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otao_Transicao_Finalizacao">
                <anchor moveWithCells="1" sizeWithCells="1">
                  <from>
                    <xdr:col>4</xdr:col>
                    <xdr:colOff>152400</xdr:colOff>
                    <xdr:row>3</xdr:row>
                    <xdr:rowOff>68580</xdr:rowOff>
                  </from>
                  <to>
                    <xdr:col>4</xdr:col>
                    <xdr:colOff>1592580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otao_Transicao_Gol">
                <anchor moveWithCells="1" sizeWithCells="1">
                  <from>
                    <xdr:col>5</xdr:col>
                    <xdr:colOff>160020</xdr:colOff>
                    <xdr:row>3</xdr:row>
                    <xdr:rowOff>68580</xdr:rowOff>
                  </from>
                  <to>
                    <xdr:col>5</xdr:col>
                    <xdr:colOff>1600200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otao_AP_PosseMantida">
                <anchor moveWithCells="1" sizeWithCells="1">
                  <from>
                    <xdr:col>3</xdr:col>
                    <xdr:colOff>152400</xdr:colOff>
                    <xdr:row>1</xdr:row>
                    <xdr:rowOff>68580</xdr:rowOff>
                  </from>
                  <to>
                    <xdr:col>3</xdr:col>
                    <xdr:colOff>1592580</xdr:colOff>
                    <xdr:row>1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otao_SDP_PosseMantida">
                <anchor moveWithCells="1" sizeWithCells="1">
                  <from>
                    <xdr:col>3</xdr:col>
                    <xdr:colOff>152400</xdr:colOff>
                    <xdr:row>2</xdr:row>
                    <xdr:rowOff>68580</xdr:rowOff>
                  </from>
                  <to>
                    <xdr:col>3</xdr:col>
                    <xdr:colOff>1592580</xdr:colOff>
                    <xdr:row>2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Button 30">
              <controlPr defaultSize="0" print="0" autoFill="0" autoPict="0" macro="[0]!Botao_Transicao_PosseMantida">
                <anchor moveWithCells="1" sizeWithCells="1">
                  <from>
                    <xdr:col>3</xdr:col>
                    <xdr:colOff>152400</xdr:colOff>
                    <xdr:row>3</xdr:row>
                    <xdr:rowOff>68580</xdr:rowOff>
                  </from>
                  <to>
                    <xdr:col>3</xdr:col>
                    <xdr:colOff>1592580</xdr:colOff>
                    <xdr:row>3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Button 31">
              <controlPr defaultSize="0" print="0" autoFill="0" autoPict="0" macro="[0]!Botao_Goleiro_PerdePosse">
                <anchor moveWithCells="1" sizeWithCells="1">
                  <from>
                    <xdr:col>2</xdr:col>
                    <xdr:colOff>144780</xdr:colOff>
                    <xdr:row>4</xdr:row>
                    <xdr:rowOff>76200</xdr:rowOff>
                  </from>
                  <to>
                    <xdr:col>2</xdr:col>
                    <xdr:colOff>1584960</xdr:colOff>
                    <xdr:row>4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7" name="Button 32">
              <controlPr defaultSize="0" print="0" autoFill="0" autoPict="0" macro="[0]!Botao_Goleiro_Finalizacao">
                <anchor moveWithCells="1" sizeWithCells="1">
                  <from>
                    <xdr:col>4</xdr:col>
                    <xdr:colOff>152400</xdr:colOff>
                    <xdr:row>4</xdr:row>
                    <xdr:rowOff>76200</xdr:rowOff>
                  </from>
                  <to>
                    <xdr:col>4</xdr:col>
                    <xdr:colOff>1592580</xdr:colOff>
                    <xdr:row>4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8" name="Button 33">
              <controlPr defaultSize="0" print="0" autoFill="0" autoPict="0" macro="[0]!Botao_Goleiro_Gol">
                <anchor moveWithCells="1" sizeWithCells="1">
                  <from>
                    <xdr:col>5</xdr:col>
                    <xdr:colOff>160020</xdr:colOff>
                    <xdr:row>4</xdr:row>
                    <xdr:rowOff>76200</xdr:rowOff>
                  </from>
                  <to>
                    <xdr:col>5</xdr:col>
                    <xdr:colOff>1600200</xdr:colOff>
                    <xdr:row>4</xdr:row>
                    <xdr:rowOff>899160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Button 34">
              <controlPr defaultSize="0" print="0" autoFill="0" autoPict="0" macro="[0]!Botao_Goleiro_PosseMantida">
                <anchor moveWithCells="1" sizeWithCells="1">
                  <from>
                    <xdr:col>3</xdr:col>
                    <xdr:colOff>152400</xdr:colOff>
                    <xdr:row>4</xdr:row>
                    <xdr:rowOff>76200</xdr:rowOff>
                  </from>
                  <to>
                    <xdr:col>3</xdr:col>
                    <xdr:colOff>1592580</xdr:colOff>
                    <xdr:row>4</xdr:row>
                    <xdr:rowOff>899160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DB59-56E8-40D3-AFD0-4347E89A80D4}">
  <sheetPr codeName="Planilha2"/>
  <dimension ref="G2:J17"/>
  <sheetViews>
    <sheetView tabSelected="1" workbookViewId="0">
      <selection activeCell="G15" sqref="G15"/>
    </sheetView>
  </sheetViews>
  <sheetFormatPr defaultRowHeight="14.4" x14ac:dyDescent="0.3"/>
  <cols>
    <col min="1" max="1" width="39.6640625" bestFit="1" customWidth="1"/>
    <col min="7" max="7" width="39.6640625" bestFit="1" customWidth="1"/>
  </cols>
  <sheetData>
    <row r="2" spans="7:10" x14ac:dyDescent="0.3">
      <c r="G2" t="s">
        <v>13</v>
      </c>
      <c r="H2">
        <f>COUNTIF(A:A, G2)</f>
        <v>0</v>
      </c>
      <c r="J2" t="e">
        <f>((H4*3)+(H5*4))/((H2*2) + (H3*1) + (H4*3) + (H5*4))*100</f>
        <v>#DIV/0!</v>
      </c>
    </row>
    <row r="3" spans="7:10" x14ac:dyDescent="0.3">
      <c r="G3" t="s">
        <v>14</v>
      </c>
      <c r="H3">
        <f t="shared" ref="H3:H17" si="0">COUNTIF(A:A, G3)</f>
        <v>0</v>
      </c>
    </row>
    <row r="4" spans="7:10" x14ac:dyDescent="0.3">
      <c r="G4" t="s">
        <v>15</v>
      </c>
      <c r="H4">
        <f t="shared" si="0"/>
        <v>0</v>
      </c>
    </row>
    <row r="5" spans="7:10" x14ac:dyDescent="0.3">
      <c r="G5" t="s">
        <v>16</v>
      </c>
      <c r="H5">
        <f t="shared" si="0"/>
        <v>0</v>
      </c>
    </row>
    <row r="6" spans="7:10" x14ac:dyDescent="0.3">
      <c r="G6" t="s">
        <v>17</v>
      </c>
      <c r="H6">
        <f t="shared" si="0"/>
        <v>0</v>
      </c>
      <c r="J6" t="e">
        <f>((H8*3)+(H9*4))/((H6*2) + (H7*1) + (H8*3) + (H9*4))*100</f>
        <v>#DIV/0!</v>
      </c>
    </row>
    <row r="7" spans="7:10" x14ac:dyDescent="0.3">
      <c r="G7" t="s">
        <v>18</v>
      </c>
      <c r="H7">
        <f t="shared" si="0"/>
        <v>0</v>
      </c>
    </row>
    <row r="8" spans="7:10" x14ac:dyDescent="0.3">
      <c r="G8" t="s">
        <v>19</v>
      </c>
      <c r="H8">
        <f t="shared" si="0"/>
        <v>0</v>
      </c>
    </row>
    <row r="9" spans="7:10" x14ac:dyDescent="0.3">
      <c r="G9" t="s">
        <v>20</v>
      </c>
      <c r="H9">
        <f t="shared" si="0"/>
        <v>0</v>
      </c>
    </row>
    <row r="10" spans="7:10" x14ac:dyDescent="0.3">
      <c r="G10" t="s">
        <v>21</v>
      </c>
      <c r="H10">
        <f t="shared" si="0"/>
        <v>0</v>
      </c>
      <c r="J10" t="e">
        <f>((H12*3)+(H13*4))/((H10*2) + (H11*1) + (H12*3) + (H13*4))*100</f>
        <v>#DIV/0!</v>
      </c>
    </row>
    <row r="11" spans="7:10" x14ac:dyDescent="0.3">
      <c r="G11" t="s">
        <v>22</v>
      </c>
      <c r="H11">
        <f t="shared" si="0"/>
        <v>0</v>
      </c>
    </row>
    <row r="12" spans="7:10" x14ac:dyDescent="0.3">
      <c r="G12" t="s">
        <v>23</v>
      </c>
      <c r="H12">
        <f t="shared" si="0"/>
        <v>0</v>
      </c>
    </row>
    <row r="13" spans="7:10" x14ac:dyDescent="0.3">
      <c r="G13" t="s">
        <v>24</v>
      </c>
      <c r="H13">
        <f t="shared" si="0"/>
        <v>0</v>
      </c>
    </row>
    <row r="14" spans="7:10" x14ac:dyDescent="0.3">
      <c r="G14" t="s">
        <v>25</v>
      </c>
      <c r="H14">
        <f t="shared" si="0"/>
        <v>0</v>
      </c>
      <c r="J14" t="e">
        <f>((H16*3)+(H17*4))/((H14*2) + (H15*1) + (H16*3) + (H17*4))*100</f>
        <v>#DIV/0!</v>
      </c>
    </row>
    <row r="15" spans="7:10" x14ac:dyDescent="0.3">
      <c r="G15" t="s">
        <v>26</v>
      </c>
      <c r="H15">
        <f t="shared" si="0"/>
        <v>0</v>
      </c>
    </row>
    <row r="16" spans="7:10" x14ac:dyDescent="0.3">
      <c r="G16" t="s">
        <v>27</v>
      </c>
      <c r="H16">
        <f t="shared" si="0"/>
        <v>0</v>
      </c>
    </row>
    <row r="17" spans="7:8" x14ac:dyDescent="0.3">
      <c r="G17" t="s">
        <v>28</v>
      </c>
      <c r="H17">
        <f t="shared" si="0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E26FD-3157-4EBA-BBAD-6CF08452DE2E}">
  <sheetPr codeName="Planilha4"/>
  <dimension ref="A1:C42"/>
  <sheetViews>
    <sheetView zoomScaleNormal="100" workbookViewId="0">
      <selection activeCell="D38" sqref="D38"/>
    </sheetView>
  </sheetViews>
  <sheetFormatPr defaultRowHeight="14.4" x14ac:dyDescent="0.3"/>
  <cols>
    <col min="1" max="1" width="23.44140625" style="2" customWidth="1"/>
    <col min="2" max="2" width="26" style="2" customWidth="1"/>
    <col min="3" max="3" width="8.88671875" style="2"/>
    <col min="4" max="16384" width="8.88671875" style="3"/>
  </cols>
  <sheetData>
    <row r="1" spans="1:3" x14ac:dyDescent="0.3">
      <c r="A1" s="18" t="s">
        <v>1</v>
      </c>
      <c r="B1" s="10" t="s">
        <v>7</v>
      </c>
      <c r="C1" s="11" t="e">
        <f>BDjogadas!J2</f>
        <v>#DIV/0!</v>
      </c>
    </row>
    <row r="2" spans="1:3" x14ac:dyDescent="0.3">
      <c r="A2" s="18"/>
      <c r="B2" s="10" t="s">
        <v>4</v>
      </c>
      <c r="C2" s="11">
        <f>IF((COUNTIF(BDjogadas!A:A,"AP PERDA DE POSSE") + COUNTIF(BDjogadas!A:A,"AP POSSE MANTIDA OU PROGRESSÃO") + COUNTIF(BDjogadas!A:A,"AP FINALIZAÇÃO") + COUNTIF(BDjogadas!A:A,"AP GOL"))=0,0,COUNTIF(BDjogadas!A:A,"AP PERDA DE POSSE")/(COUNTIF(BDjogadas!A:A,"AP PERDA DE POSSE") + COUNTIF(BDjogadas!A:A,"AP POSSE MANTIDA OU PROGRESSÃO") + COUNTIF(BDjogadas!A:A,"AP FINALIZAÇÃO") + COUNTIF(BDjogadas!A:A,"AP GOL"))*100)</f>
        <v>0</v>
      </c>
    </row>
    <row r="3" spans="1:3" x14ac:dyDescent="0.3">
      <c r="A3" s="18"/>
      <c r="B3" s="10" t="s">
        <v>11</v>
      </c>
      <c r="C3" s="11">
        <f>IF((COUNTIF(BDjogadas!A:A,"AP PERDA DE POSSE") + COUNTIF(BDjogadas!A:A,"AP POSSE MANTIDA OU PROGRESSÃO") + COUNTIF(BDjogadas!A:A,"AP FINALIZAÇÃO") + COUNTIF(BDjogadas!A:A,"AP GOL"))=0,0,COUNTIF(BDjogadas!A:A,"AP POSSE MANTIDA OU PROGRESSÃO")/(COUNTIF(BDjogadas!A:A,"AP PERDA DE POSSE") + COUNTIF(BDjogadas!A:A,"AP POSSE MANTIDA OU PROGRESSÃO") + COUNTIF(BDjogadas!A:A,"AP FINALIZAÇÃO") + COUNTIF(BDjogadas!A:A,"AP GOL"))*100)</f>
        <v>0</v>
      </c>
    </row>
    <row r="4" spans="1:3" x14ac:dyDescent="0.3">
      <c r="A4" s="18"/>
      <c r="B4" s="10" t="s">
        <v>5</v>
      </c>
      <c r="C4" s="11">
        <f>IF((COUNTIF(BDjogadas!A:A,"AP PERDA DE POSSE") + COUNTIF(BDjogadas!A:A,"AP POSSE MANTIDA OU PROGRESSÃO") + COUNTIF(BDjogadas!A:A,"AP FINALIZAÇÃO") + COUNTIF(BDjogadas!A:A,"AP GOL"))=0,0,COUNTIF(BDjogadas!A:A,"AP FINALIZAÇÃO")/(COUNTIF(BDjogadas!A:A,"AP PERDA DE POSSE") + COUNTIF(BDjogadas!A:A,"AP POSSE MANTIDA OU PROGRESSÃO") + COUNTIF(BDjogadas!A:A,"AP FINALIZAÇÃO") + COUNTIF(BDjogadas!A:A,"AP GOL"))*100)</f>
        <v>0</v>
      </c>
    </row>
    <row r="5" spans="1:3" x14ac:dyDescent="0.3">
      <c r="A5" s="18"/>
      <c r="B5" s="10" t="s">
        <v>6</v>
      </c>
      <c r="C5" s="11">
        <f>IF((COUNTIF(BDjogadas!A:A,"AP PERDA DE POSSE") + COUNTIF(BDjogadas!A:A,"AP POSSE MANTIDA OU PROGRESSÃO") + COUNTIF(BDjogadas!A:A,"AP FINALIZAÇÃO") + COUNTIF(BDjogadas!A:A,"AP GOL"))=0,0,COUNTIF(BDjogadas!A:A,"AP GOL")/(COUNTIF(BDjogadas!A:A,"AP PERDA DE POSSE") + COUNTIF(BDjogadas!A:A,"AP POSSE MANTIDA OU PROGRESSÃO") + COUNTIF(BDjogadas!A:A,"AP FINALIZAÇÃO") + COUNTIF(BDjogadas!A:A,"AP GOL"))*100)</f>
        <v>0</v>
      </c>
    </row>
    <row r="6" spans="1:3" x14ac:dyDescent="0.3">
      <c r="A6" s="19" t="s">
        <v>2</v>
      </c>
      <c r="B6" s="12" t="s">
        <v>7</v>
      </c>
      <c r="C6" s="13" t="e">
        <f>BDjogadas!J6</f>
        <v>#DIV/0!</v>
      </c>
    </row>
    <row r="7" spans="1:3" x14ac:dyDescent="0.3">
      <c r="A7" s="19"/>
      <c r="B7" s="12" t="s">
        <v>4</v>
      </c>
      <c r="C7" s="13">
        <f>IF((COUNTIF(BDjogadas!A:A,"SDP PERDA DE POSSE") + COUNTIF(BDjogadas!A:A,"SDP POSSE MANTIDA OU PROGRESSÃO") + COUNTIF(BDjogadas!A:A,"SDP FINALIZAÇÃO") + COUNTIF(BDjogadas!A:A,"SDP GOL"))=0,0,COUNTIF(BDjogadas!A:A,"SDP PERDA DE POSSE")/(COUNTIF(BDjogadas!A:A,"SDP PERDA DE POSSE") + COUNTIF(BDjogadas!A:A,"SDP POSSE MANTIDA OU PROGRESSÃO") + COUNTIF(BDjogadas!A:A,"SDP FINALIZAÇÃO") + COUNTIF(BDjogadas!A:A,"SDP GOL"))*100)</f>
        <v>0</v>
      </c>
    </row>
    <row r="8" spans="1:3" x14ac:dyDescent="0.3">
      <c r="A8" s="19"/>
      <c r="B8" s="12" t="s">
        <v>11</v>
      </c>
      <c r="C8" s="13">
        <f>IF((COUNTIF(BDjogadas!A:A,"SDP PERDA DE POSSE") + COUNTIF(BDjogadas!A:A,"SDP POSSE MANTIDA OU PROGRESSÃO") + COUNTIF(BDjogadas!A:A,"SDP FINALIZAÇÃO") + COUNTIF(BDjogadas!A:A,"SDP GOL"))=0,0,COUNTIF(BDjogadas!A:A,"SDP POSSE MANTIDA OU PROGRESSÃO")/(COUNTIF(BDjogadas!A:A,"SDP PERDA DE POSSE") + COUNTIF(BDjogadas!A:A,"SDP POSSE MANTIDA OU PROGRESSÃO") + COUNTIF(BDjogadas!A:A,"SDP FINALIZAÇÃO") + COUNTIF(BDjogadas!A:A,"SDP GOL"))*100)</f>
        <v>0</v>
      </c>
    </row>
    <row r="9" spans="1:3" x14ac:dyDescent="0.3">
      <c r="A9" s="19"/>
      <c r="B9" s="12" t="s">
        <v>5</v>
      </c>
      <c r="C9" s="13">
        <f>IF((COUNTIF(BDjogadas!A:A,"SDP PERDA DE POSSE") + COUNTIF(BDjogadas!A:A,"SDP POSSE MANTIDA OU PROGRESSÃO") + COUNTIF(BDjogadas!A:A,"SDP FINALIZAÇÃO") + COUNTIF(BDjogadas!A:A,"SDP GOL"))=0,0,COUNTIF(BDjogadas!A:A,"SDP FINALIZAÇÃO")/(COUNTIF(BDjogadas!A:A,"SDP PERDA DE POSSE") + COUNTIF(BDjogadas!A:A,"SDP POSSE MANTIDA OU PROGRESSÃO") + COUNTIF(BDjogadas!A:A,"SDP FINALIZAÇÃO") + COUNTIF(BDjogadas!A:A,"SDP GOL"))*100)</f>
        <v>0</v>
      </c>
    </row>
    <row r="10" spans="1:3" x14ac:dyDescent="0.3">
      <c r="A10" s="19"/>
      <c r="B10" s="12" t="s">
        <v>6</v>
      </c>
      <c r="C10" s="13">
        <f>IF((COUNTIF(BDjogadas!A:A,"SDP PERDA DE POSSE") + COUNTIF(BDjogadas!A:A,"SDP POSSE MANTIDA OU PROGRESSÃO") + COUNTIF(BDjogadas!A:A,"SDP FINALIZAÇÃO") + COUNTIF(BDjogadas!A:A,"SDP GOL"))=0,0,COUNTIF(BDjogadas!A:A,"SDP GOL")/(COUNTIF(BDjogadas!A:A,"SDP PERDA DE POSSE") + COUNTIF(BDjogadas!A:A,"SDP POSSE MANTIDA OU PROGRESSÃO") + COUNTIF(BDjogadas!A:A,"SDP FINALIZAÇÃO") + COUNTIF(BDjogadas!A:A,"SDP GOL"))*100)</f>
        <v>0</v>
      </c>
    </row>
    <row r="11" spans="1:3" x14ac:dyDescent="0.3">
      <c r="A11" s="20" t="s">
        <v>3</v>
      </c>
      <c r="B11" s="14" t="s">
        <v>7</v>
      </c>
      <c r="C11" s="15" t="e">
        <f>BDjogadas!J10</f>
        <v>#DIV/0!</v>
      </c>
    </row>
    <row r="12" spans="1:3" x14ac:dyDescent="0.3">
      <c r="A12" s="20"/>
      <c r="B12" s="14" t="s">
        <v>4</v>
      </c>
      <c r="C12" s="15">
        <f>IF((COUNTIF(BDjogadas!A:A,"TRANSIÇÃO PERDA DE POSSE") + COUNTIF(BDjogadas!A:A,"TRANSIÇÃO POSSE MANTIDA OU PROGRESSÃO") + COUNTIF(BDjogadas!A:A,"TRANSIÇÃO FINALIZAÇÃO") + COUNTIF(BDjogadas!A:A,"TRANSIÇÃO GOL"))=0,0,COUNTIF(BDjogadas!A:A,"TRANSIÇÃO PERDA DE POSSE")/(COUNTIF(BDjogadas!A:A,"TRANSIÇÃO PERDA DE POSSE") + COUNTIF(BDjogadas!A:A,"TRANSIÇÃO POSSE MANTIDA OU PROGRESSÃO") + COUNTIF(BDjogadas!A:A,"TRANSIÇÃO FINALIZAÇÃO") + COUNTIF(BDjogadas!A:A,"TRANSIÇÃO GOL"))*100)</f>
        <v>0</v>
      </c>
    </row>
    <row r="13" spans="1:3" x14ac:dyDescent="0.3">
      <c r="A13" s="20"/>
      <c r="B13" s="14" t="s">
        <v>11</v>
      </c>
      <c r="C13" s="15">
        <f>IF((COUNTIF(BDjogadas!A:A,"TRANSIÇÃO PERDA DE POSSE") + COUNTIF(BDjogadas!A:A,"TRANSIÇÃO POSSE MANTIDA OU PROGRESSÃO") + COUNTIF(BDjogadas!A:A,"TRANSIÇÃO FINALIZAÇÃO") + COUNTIF(BDjogadas!A:A,"TRANSIÇÃO GOL"))=0,0,COUNTIF(BDjogadas!A:A,"TRANSIÇÃO POSSE MANTIDA OU PROGRESSÃO")/(COUNTIF(BDjogadas!A:A,"TRANSIÇÃO PERDA DE POSSE") + COUNTIF(BDjogadas!A:A,"TRANSIÇÃO POSSE MANTIDA OU PROGRESSÃO") + COUNTIF(BDjogadas!A:A,"TRANSIÇÃO FINALIZAÇÃO") + COUNTIF(BDjogadas!A:A,"TRANSIÇÃO GOL"))*100)</f>
        <v>0</v>
      </c>
    </row>
    <row r="14" spans="1:3" x14ac:dyDescent="0.3">
      <c r="A14" s="20"/>
      <c r="B14" s="14" t="s">
        <v>5</v>
      </c>
      <c r="C14" s="15">
        <f>IF((COUNTIF(BDjogadas!A:A,"TRANSIÇÃO PERDA DE POSSE") + COUNTIF(BDjogadas!A:A,"TRANSIÇÃO POSSE MANTIDA OU PROGRESSÃO") + COUNTIF(BDjogadas!A:A,"TRANSIÇÃO FINALIZAÇÃO") + COUNTIF(BDjogadas!A:A,"TRANSIÇÃO GOL"))=0,0,COUNTIF(BDjogadas!A:A,"TRANSIÇÃO FINALIZAÇÃO")/(COUNTIF(BDjogadas!A:A,"TRANSIÇÃO PERDA DE POSSE") + COUNTIF(BDjogadas!A:A,"TRANSIÇÃO POSSE MANTIDA OU PROGRESSÃO") + COUNTIF(BDjogadas!A:A,"TRANSIÇÃO FINALIZAÇÃO") + COUNTIF(BDjogadas!A:A,"TRANSIÇÃO GOL"))*100)</f>
        <v>0</v>
      </c>
    </row>
    <row r="15" spans="1:3" x14ac:dyDescent="0.3">
      <c r="A15" s="20"/>
      <c r="B15" s="14" t="s">
        <v>6</v>
      </c>
      <c r="C15" s="15">
        <f>IF((COUNTIF(BDjogadas!A:A,"TRANSIÇÃO PERDA DE POSSE") + COUNTIF(BDjogadas!A:A,"TRANSIÇÃO POSSE MANTIDA OU PROGRESSÃO") + COUNTIF(BDjogadas!A:A,"TRANSIÇÃO FINALIZAÇÃO") + COUNTIF(BDjogadas!A:A,"TRANSIÇÃO GOL"))=0,0,COUNTIF(BDjogadas!A:A,"TRANSIÇÃO GOL")/(COUNTIF(BDjogadas!A:A,"TRANSIÇÃO PERDA DE POSSE") + COUNTIF(BDjogadas!A:A,"TRANSIÇÃO POSSE MANTIDA OU PROGRESSÃO") + COUNTIF(BDjogadas!A:A,"TRANSIÇÃO FINALIZAÇÃO") + COUNTIF(BDjogadas!A:A,"TRANSIÇÃO GOL"))*100)</f>
        <v>0</v>
      </c>
    </row>
    <row r="16" spans="1:3" x14ac:dyDescent="0.3">
      <c r="A16" s="21" t="s">
        <v>10</v>
      </c>
      <c r="B16" s="16" t="s">
        <v>7</v>
      </c>
      <c r="C16" s="17" t="e">
        <f>BDjogadas!J14</f>
        <v>#DIV/0!</v>
      </c>
    </row>
    <row r="17" spans="1:3" x14ac:dyDescent="0.3">
      <c r="A17" s="21"/>
      <c r="B17" s="16" t="s">
        <v>4</v>
      </c>
      <c r="C17" s="17">
        <f>IF((COUNTIF(BDjogadas!A:A,"GOLEIRO PERDA DE POSSE") + COUNTIF(BDjogadas!A:A,"GOLEIRO POSSE MANTIDA OU PROGRESSÃO") + COUNTIF(BDjogadas!A:A,"GOLEIRO FINALIZAÇÃO") + COUNTIF(BDjogadas!A:A,"GOLEIRO GOL"))=0,0,COUNTIF(BDjogadas!A:A,"GOLEIRO PERDA DE POSSE")/(COUNTIF(BDjogadas!A:A,"GOLEIRO PERDA DE POSSE") + COUNTIF(BDjogadas!A:A,"GOLEIRO POSSE MANTIDA OU PROGRESSÃO") + COUNTIF(BDjogadas!A:A,"GOLEIRO FINALIZAÇÃO") + COUNTIF(BDjogadas!A:A,"GOLEIRO GOL"))*100)</f>
        <v>0</v>
      </c>
    </row>
    <row r="18" spans="1:3" x14ac:dyDescent="0.3">
      <c r="A18" s="21"/>
      <c r="B18" s="16" t="s">
        <v>11</v>
      </c>
      <c r="C18" s="17">
        <f>IF((COUNTIF(BDjogadas!A:A,"GOLEIRO PERDA DE POSSE") + COUNTIF(BDjogadas!A:A,"GOLEIRO POSSE MANTIDA OU PROGRESSÃO") + COUNTIF(BDjogadas!A:A,"GOLEIRO FINALIZAÇÃO") + COUNTIF(BDjogadas!A:A,"GOLEIRO GOL"))=0,0,COUNTIF(BDjogadas!A:A,"GOLEIRO POSSE MANTIDA OU PROGRESSÃO")/(COUNTIF(BDjogadas!A:A,"GOLEIRO PERDA DE POSSE") + COUNTIF(BDjogadas!A:A,"GOLEIRO POSSE MANTIDA OU PROGRESSÃO") + COUNTIF(BDjogadas!A:A,"GOLEIRO FINALIZAÇÃO") + COUNTIF(BDjogadas!A:A,"GOLEIRO GOL"))*100)</f>
        <v>0</v>
      </c>
    </row>
    <row r="19" spans="1:3" x14ac:dyDescent="0.3">
      <c r="A19" s="21"/>
      <c r="B19" s="16" t="s">
        <v>5</v>
      </c>
      <c r="C19" s="17">
        <f>IF((COUNTIF(BDjogadas!A:A,"GOLEIRO PERDA DE POSSE") + COUNTIF(BDjogadas!A:A,"GOLEIRO POSSE MANTIDA OU PROGRESSÃO") + COUNTIF(BDjogadas!A:A,"GOLEIRO FINALIZAÇÃO") + COUNTIF(BDjogadas!A:A,"GOLEIRO GOL"))=0,0,COUNTIF(BDjogadas!A:A,"GOLEIRO FINALIZAÇÃO")/(COUNTIF(BDjogadas!A:A,"GOLEIRO PERDA DE POSSE") + COUNTIF(BDjogadas!A:A,"GOLEIRO POSSE MANTIDA OU PROGRESSÃO") + COUNTIF(BDjogadas!A:A,"GOLEIRO FINALIZAÇÃO") + COUNTIF(BDjogadas!A:A,"GOLEIRO GOL"))*100)</f>
        <v>0</v>
      </c>
    </row>
    <row r="20" spans="1:3" x14ac:dyDescent="0.3">
      <c r="A20" s="21"/>
      <c r="B20" s="16" t="s">
        <v>6</v>
      </c>
      <c r="C20" s="17">
        <f>IF((COUNTIF(BDjogadas!A:A,"GOLEIRO PERDA DE POSSE") + COUNTIF(BDjogadas!A:A,"GOLEIRO POSSE MANTIDA OU PROGRESSÃO") + COUNTIF(BDjogadas!A:A,"GOLEIRO FINALIZAÇÃO") + COUNTIF(BDjogadas!A:A,"GOLEIRO GOL"))=0,0,COUNTIF(BDjogadas!A:A,"GOLEIRO GOL")/(COUNTIF(BDjogadas!A:A,"GOLEIRO PERDA DE POSSE") + COUNTIF(BDjogadas!A:A,"GOLEIRO POSSE MANTIDA OU PROGRESSÃO") + COUNTIF(BDjogadas!A:A,"GOLEIRO FINALIZAÇÃO") + COUNTIF(BDjogadas!A:A,"GOLEIRO GOL"))*100)</f>
        <v>0</v>
      </c>
    </row>
    <row r="23" spans="1:3" x14ac:dyDescent="0.3">
      <c r="A23" s="22" t="s">
        <v>8</v>
      </c>
      <c r="B23" s="8" t="s">
        <v>1</v>
      </c>
      <c r="C23" s="9" t="e">
        <f>C1</f>
        <v>#DIV/0!</v>
      </c>
    </row>
    <row r="24" spans="1:3" x14ac:dyDescent="0.3">
      <c r="A24" s="22"/>
      <c r="B24" s="8" t="s">
        <v>2</v>
      </c>
      <c r="C24" s="9" t="e">
        <f>C6</f>
        <v>#DIV/0!</v>
      </c>
    </row>
    <row r="25" spans="1:3" x14ac:dyDescent="0.3">
      <c r="A25" s="22"/>
      <c r="B25" s="8" t="s">
        <v>3</v>
      </c>
      <c r="C25" s="9" t="e">
        <f>C11</f>
        <v>#DIV/0!</v>
      </c>
    </row>
    <row r="26" spans="1:3" x14ac:dyDescent="0.3">
      <c r="A26" s="22"/>
      <c r="B26" s="8" t="s">
        <v>10</v>
      </c>
      <c r="C26" s="9" t="e">
        <f>C16</f>
        <v>#DIV/0!</v>
      </c>
    </row>
    <row r="27" spans="1:3" x14ac:dyDescent="0.3">
      <c r="A27" s="22" t="s">
        <v>4</v>
      </c>
      <c r="B27" s="8" t="s">
        <v>1</v>
      </c>
      <c r="C27" s="9">
        <f>C2</f>
        <v>0</v>
      </c>
    </row>
    <row r="28" spans="1:3" x14ac:dyDescent="0.3">
      <c r="A28" s="22"/>
      <c r="B28" s="8" t="s">
        <v>2</v>
      </c>
      <c r="C28" s="9">
        <f>C7</f>
        <v>0</v>
      </c>
    </row>
    <row r="29" spans="1:3" x14ac:dyDescent="0.3">
      <c r="A29" s="22"/>
      <c r="B29" s="8" t="s">
        <v>3</v>
      </c>
      <c r="C29" s="9">
        <f>C12</f>
        <v>0</v>
      </c>
    </row>
    <row r="30" spans="1:3" x14ac:dyDescent="0.3">
      <c r="A30" s="22"/>
      <c r="B30" s="8" t="s">
        <v>10</v>
      </c>
      <c r="C30" s="9">
        <f>C17</f>
        <v>0</v>
      </c>
    </row>
    <row r="31" spans="1:3" x14ac:dyDescent="0.3">
      <c r="A31" s="22" t="s">
        <v>11</v>
      </c>
      <c r="B31" s="8" t="s">
        <v>1</v>
      </c>
      <c r="C31" s="9">
        <f>C3</f>
        <v>0</v>
      </c>
    </row>
    <row r="32" spans="1:3" x14ac:dyDescent="0.3">
      <c r="A32" s="22"/>
      <c r="B32" s="8" t="s">
        <v>2</v>
      </c>
      <c r="C32" s="9">
        <f>C8</f>
        <v>0</v>
      </c>
    </row>
    <row r="33" spans="1:3" x14ac:dyDescent="0.3">
      <c r="A33" s="22"/>
      <c r="B33" s="8" t="s">
        <v>3</v>
      </c>
      <c r="C33" s="9">
        <f>C13</f>
        <v>0</v>
      </c>
    </row>
    <row r="34" spans="1:3" x14ac:dyDescent="0.3">
      <c r="A34" s="22"/>
      <c r="B34" s="8" t="s">
        <v>10</v>
      </c>
      <c r="C34" s="9">
        <f>C18</f>
        <v>0</v>
      </c>
    </row>
    <row r="35" spans="1:3" x14ac:dyDescent="0.3">
      <c r="A35" s="22" t="s">
        <v>5</v>
      </c>
      <c r="B35" s="8" t="s">
        <v>1</v>
      </c>
      <c r="C35" s="9">
        <f>C4</f>
        <v>0</v>
      </c>
    </row>
    <row r="36" spans="1:3" x14ac:dyDescent="0.3">
      <c r="A36" s="22"/>
      <c r="B36" s="8" t="s">
        <v>2</v>
      </c>
      <c r="C36" s="9">
        <f>C9</f>
        <v>0</v>
      </c>
    </row>
    <row r="37" spans="1:3" x14ac:dyDescent="0.3">
      <c r="A37" s="22"/>
      <c r="B37" s="8" t="s">
        <v>3</v>
      </c>
      <c r="C37" s="9">
        <f>C14</f>
        <v>0</v>
      </c>
    </row>
    <row r="38" spans="1:3" x14ac:dyDescent="0.3">
      <c r="A38" s="22"/>
      <c r="B38" s="8" t="s">
        <v>10</v>
      </c>
      <c r="C38" s="9">
        <f>C19</f>
        <v>0</v>
      </c>
    </row>
    <row r="39" spans="1:3" x14ac:dyDescent="0.3">
      <c r="A39" s="22" t="s">
        <v>6</v>
      </c>
      <c r="B39" s="8" t="s">
        <v>1</v>
      </c>
      <c r="C39" s="9">
        <f>C5</f>
        <v>0</v>
      </c>
    </row>
    <row r="40" spans="1:3" x14ac:dyDescent="0.3">
      <c r="A40" s="22"/>
      <c r="B40" s="8" t="s">
        <v>2</v>
      </c>
      <c r="C40" s="9">
        <f>C10</f>
        <v>0</v>
      </c>
    </row>
    <row r="41" spans="1:3" x14ac:dyDescent="0.3">
      <c r="A41" s="22"/>
      <c r="B41" s="8" t="s">
        <v>3</v>
      </c>
      <c r="C41" s="9">
        <f>C15</f>
        <v>0</v>
      </c>
    </row>
    <row r="42" spans="1:3" x14ac:dyDescent="0.3">
      <c r="A42" s="22"/>
      <c r="B42" s="8" t="s">
        <v>10</v>
      </c>
      <c r="C42" s="9">
        <f>C20</f>
        <v>0</v>
      </c>
    </row>
  </sheetData>
  <mergeCells count="9">
    <mergeCell ref="A1:A5"/>
    <mergeCell ref="A6:A10"/>
    <mergeCell ref="A11:A15"/>
    <mergeCell ref="A16:A20"/>
    <mergeCell ref="A39:A42"/>
    <mergeCell ref="A35:A38"/>
    <mergeCell ref="A31:A34"/>
    <mergeCell ref="A27:A30"/>
    <mergeCell ref="A23:A26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botões</vt:lpstr>
      <vt:lpstr>BDjogadas</vt:lpstr>
      <vt:lpstr>Graf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Pranke</dc:creator>
  <cp:lastModifiedBy>João Antonio Lobler</cp:lastModifiedBy>
  <dcterms:created xsi:type="dcterms:W3CDTF">2025-02-19T17:19:40Z</dcterms:created>
  <dcterms:modified xsi:type="dcterms:W3CDTF">2025-05-29T12:50:43Z</dcterms:modified>
</cp:coreProperties>
</file>