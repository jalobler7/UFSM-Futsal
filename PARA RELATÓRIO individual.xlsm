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alob\OneDrive\Área de Trabalho\Projeto UFSM FUTSAL\"/>
    </mc:Choice>
  </mc:AlternateContent>
  <xr:revisionPtr revIDLastSave="0" documentId="13_ncr:1_{39105D89-7BBD-40FF-A5FA-432009EF87C5}" xr6:coauthVersionLast="47" xr6:coauthVersionMax="47" xr10:uidLastSave="{00000000-0000-0000-0000-000000000000}"/>
  <bookViews>
    <workbookView xWindow="-108" yWindow="-108" windowWidth="23256" windowHeight="12456" tabRatio="787" activeTab="9" xr2:uid="{2FADBFE1-DE09-49DD-928E-901085AF1715}"/>
  </bookViews>
  <sheets>
    <sheet name="FASE OFENSIVA" sheetId="1" r:id="rId1"/>
    <sheet name="FASE DEFENSIVA" sheetId="8" r:id="rId2"/>
    <sheet name="Pontos" sheetId="6" r:id="rId3"/>
    <sheet name="PontosOF" sheetId="10" r:id="rId4"/>
    <sheet name="PontosDEF" sheetId="11" r:id="rId5"/>
    <sheet name="Índices" sheetId="7" r:id="rId6"/>
    <sheet name="ÍndicesOF" sheetId="13" r:id="rId7"/>
    <sheet name="ÍndicesDEF" sheetId="14" r:id="rId8"/>
    <sheet name="ÍndicesGERAL" sheetId="17" r:id="rId9"/>
    <sheet name="Por atleta" sheetId="15" r:id="rId10"/>
    <sheet name="PDF" sheetId="19" r:id="rId11"/>
  </sheets>
  <definedNames>
    <definedName name="_xlnm._FilterDatabase" localSheetId="0" hidden="1">'FASE OFENSIVA'!$A$5:$A$11</definedName>
    <definedName name="_xlnm._FilterDatabase" localSheetId="2" hidden="1">Pontos!$L$4:$N$20</definedName>
    <definedName name="_xleta.AND" hidden="1" xlm="1">#NAME?</definedName>
    <definedName name="_xleta.AVERAGE" hidden="1" xlm="1">#NAME?</definedName>
    <definedName name="_xleta.MATCH" hidden="1" xlm="1">#NAME?</definedName>
    <definedName name="_xleta.SUM" hidden="1" xlm="1">#NAME?</definedName>
    <definedName name="_xleta.VLOOKUP" hidden="1" xlm="1">#NAME?</definedName>
    <definedName name="_xlnm.Criteria" localSheetId="2">Pontos!$L$4:$N$20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20" i="1" l="1"/>
  <c r="AK20" i="1"/>
  <c r="AH20" i="1"/>
  <c r="AG20" i="1"/>
  <c r="AF20" i="1"/>
  <c r="AJ20" i="1" s="1"/>
  <c r="AL19" i="1"/>
  <c r="AK19" i="1"/>
  <c r="AJ19" i="1"/>
  <c r="AH19" i="1"/>
  <c r="AI19" i="1" s="1"/>
  <c r="AG19" i="1"/>
  <c r="AF19" i="1"/>
  <c r="AL18" i="1"/>
  <c r="AK18" i="1"/>
  <c r="AH18" i="1"/>
  <c r="AG18" i="1"/>
  <c r="AF18" i="1"/>
  <c r="AI18" i="1" s="1"/>
  <c r="AL17" i="1"/>
  <c r="AK17" i="1"/>
  <c r="AJ17" i="1"/>
  <c r="AH17" i="1"/>
  <c r="AG17" i="1"/>
  <c r="AF17" i="1"/>
  <c r="AI17" i="1" s="1"/>
  <c r="AL16" i="1"/>
  <c r="AK16" i="1"/>
  <c r="AH16" i="1"/>
  <c r="AG16" i="1"/>
  <c r="AF16" i="1"/>
  <c r="AJ16" i="1" s="1"/>
  <c r="AL15" i="1"/>
  <c r="AK15" i="1"/>
  <c r="AH15" i="1"/>
  <c r="AG15" i="1"/>
  <c r="AF15" i="1"/>
  <c r="AJ15" i="1" s="1"/>
  <c r="AL14" i="1"/>
  <c r="AK14" i="1"/>
  <c r="AJ14" i="1"/>
  <c r="AH14" i="1"/>
  <c r="AG14" i="1"/>
  <c r="AI14" i="1" s="1"/>
  <c r="AF14" i="1"/>
  <c r="AL13" i="1"/>
  <c r="AK13" i="1"/>
  <c r="AH13" i="1"/>
  <c r="AG13" i="1"/>
  <c r="AF13" i="1"/>
  <c r="AI13" i="1" s="1"/>
  <c r="AL12" i="1"/>
  <c r="AK12" i="1"/>
  <c r="AJ12" i="1"/>
  <c r="AI12" i="1"/>
  <c r="AH12" i="1"/>
  <c r="AG12" i="1"/>
  <c r="AF12" i="1"/>
  <c r="AL11" i="1"/>
  <c r="AK11" i="1"/>
  <c r="AH11" i="1"/>
  <c r="AG11" i="1"/>
  <c r="AF11" i="1"/>
  <c r="AJ11" i="1" s="1"/>
  <c r="AL10" i="1"/>
  <c r="AK10" i="1"/>
  <c r="AH10" i="1"/>
  <c r="AG10" i="1"/>
  <c r="AF10" i="1"/>
  <c r="AJ10" i="1" s="1"/>
  <c r="AL9" i="1"/>
  <c r="AK9" i="1"/>
  <c r="AH9" i="1"/>
  <c r="AG9" i="1"/>
  <c r="AF9" i="1"/>
  <c r="AI9" i="1" s="1"/>
  <c r="AL8" i="1"/>
  <c r="AK8" i="1"/>
  <c r="AH8" i="1"/>
  <c r="AG8" i="1"/>
  <c r="AF8" i="1"/>
  <c r="AJ8" i="1" s="1"/>
  <c r="AL7" i="1"/>
  <c r="AK7" i="1"/>
  <c r="AJ7" i="1"/>
  <c r="AH7" i="1"/>
  <c r="AI7" i="1" s="1"/>
  <c r="AG7" i="1"/>
  <c r="AF7" i="1"/>
  <c r="AL6" i="1"/>
  <c r="AK6" i="1"/>
  <c r="AH6" i="1"/>
  <c r="AG6" i="1"/>
  <c r="AF6" i="1"/>
  <c r="AJ6" i="1" s="1"/>
  <c r="AD20" i="1"/>
  <c r="AC20" i="1"/>
  <c r="AB20" i="1"/>
  <c r="AD19" i="1"/>
  <c r="AC19" i="1"/>
  <c r="AB19" i="1"/>
  <c r="AD18" i="1"/>
  <c r="AC18" i="1"/>
  <c r="AB18" i="1"/>
  <c r="AD17" i="1"/>
  <c r="AC17" i="1"/>
  <c r="AB17" i="1"/>
  <c r="AD16" i="1"/>
  <c r="AC16" i="1"/>
  <c r="AB16" i="1"/>
  <c r="AD15" i="1"/>
  <c r="AC15" i="1"/>
  <c r="AB15" i="1"/>
  <c r="AD14" i="1"/>
  <c r="AC14" i="1"/>
  <c r="AB14" i="1"/>
  <c r="AD13" i="1"/>
  <c r="AC13" i="1"/>
  <c r="AB13" i="1"/>
  <c r="AD12" i="1"/>
  <c r="AC12" i="1"/>
  <c r="AB12" i="1"/>
  <c r="AD11" i="1"/>
  <c r="AC11" i="1"/>
  <c r="AB11" i="1"/>
  <c r="AD10" i="1"/>
  <c r="AC10" i="1"/>
  <c r="AB10" i="1"/>
  <c r="AD9" i="1"/>
  <c r="AC9" i="1"/>
  <c r="AB9" i="1"/>
  <c r="AD8" i="1"/>
  <c r="AC8" i="1"/>
  <c r="AB8" i="1"/>
  <c r="AD7" i="1"/>
  <c r="AC7" i="1"/>
  <c r="AB7" i="1"/>
  <c r="AD6" i="1"/>
  <c r="AC6" i="1"/>
  <c r="AB6" i="1"/>
  <c r="AK6" i="8"/>
  <c r="AK7" i="8"/>
  <c r="AK8" i="8"/>
  <c r="AK9" i="8"/>
  <c r="AK10" i="8"/>
  <c r="AK11" i="8"/>
  <c r="AK12" i="8"/>
  <c r="AK13" i="8"/>
  <c r="AK14" i="8"/>
  <c r="AK15" i="8"/>
  <c r="AK16" i="8"/>
  <c r="AK17" i="8"/>
  <c r="AK18" i="8"/>
  <c r="AK19" i="8"/>
  <c r="AK20" i="8"/>
  <c r="AK5" i="8"/>
  <c r="AJ6" i="8"/>
  <c r="AJ7" i="8"/>
  <c r="AJ8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5" i="8"/>
  <c r="AI6" i="8"/>
  <c r="AI7" i="8"/>
  <c r="AI8" i="8"/>
  <c r="AI9" i="8"/>
  <c r="AI10" i="8"/>
  <c r="AI11" i="8"/>
  <c r="AI12" i="8"/>
  <c r="AI13" i="8"/>
  <c r="AI14" i="8"/>
  <c r="AI15" i="8"/>
  <c r="AI16" i="8"/>
  <c r="AI17" i="8"/>
  <c r="AI18" i="8"/>
  <c r="AI19" i="8"/>
  <c r="AI20" i="8"/>
  <c r="AI5" i="8"/>
  <c r="AH6" i="8"/>
  <c r="AH7" i="8"/>
  <c r="AH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5" i="8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5" i="8"/>
  <c r="AF6" i="8"/>
  <c r="AF7" i="8"/>
  <c r="AF8" i="8"/>
  <c r="AF9" i="8"/>
  <c r="AF10" i="8"/>
  <c r="AF11" i="8"/>
  <c r="AF12" i="8"/>
  <c r="AF13" i="8"/>
  <c r="AF14" i="8"/>
  <c r="AF15" i="8"/>
  <c r="AF16" i="8"/>
  <c r="AF17" i="8"/>
  <c r="AF18" i="8"/>
  <c r="AF19" i="8"/>
  <c r="AF20" i="8"/>
  <c r="AF5" i="8"/>
  <c r="AE6" i="8"/>
  <c r="AE7" i="8"/>
  <c r="AE8" i="8"/>
  <c r="AE9" i="8"/>
  <c r="AE10" i="8"/>
  <c r="AE11" i="8"/>
  <c r="AE12" i="8"/>
  <c r="AE13" i="8"/>
  <c r="AE14" i="8"/>
  <c r="AE15" i="8"/>
  <c r="AE16" i="8"/>
  <c r="AE17" i="8"/>
  <c r="AE18" i="8"/>
  <c r="AE19" i="8"/>
  <c r="AE20" i="8"/>
  <c r="AE5" i="8"/>
  <c r="AL5" i="1"/>
  <c r="AK5" i="1"/>
  <c r="AH5" i="1"/>
  <c r="AG5" i="1"/>
  <c r="AF5" i="1"/>
  <c r="AJ5" i="1" s="1"/>
  <c r="AC20" i="8"/>
  <c r="AB20" i="8"/>
  <c r="AC19" i="8"/>
  <c r="AB19" i="8"/>
  <c r="AC18" i="8"/>
  <c r="AB18" i="8"/>
  <c r="AC17" i="8"/>
  <c r="AB17" i="8"/>
  <c r="AC16" i="8"/>
  <c r="AB16" i="8"/>
  <c r="AC15" i="8"/>
  <c r="AB15" i="8"/>
  <c r="AC14" i="8"/>
  <c r="AB14" i="8"/>
  <c r="AC13" i="8"/>
  <c r="AB13" i="8"/>
  <c r="AC12" i="8"/>
  <c r="AB12" i="8"/>
  <c r="AC11" i="8"/>
  <c r="AB11" i="8"/>
  <c r="AC10" i="8"/>
  <c r="AB10" i="8"/>
  <c r="AC9" i="8"/>
  <c r="AB9" i="8"/>
  <c r="AC8" i="8"/>
  <c r="AB8" i="8"/>
  <c r="AC7" i="8"/>
  <c r="AB7" i="8"/>
  <c r="AC6" i="8"/>
  <c r="AB6" i="8"/>
  <c r="AJ9" i="1" l="1"/>
  <c r="AI16" i="1"/>
  <c r="AI11" i="1"/>
  <c r="AI6" i="1"/>
  <c r="AJ18" i="1"/>
  <c r="AI8" i="1"/>
  <c r="AJ13" i="1"/>
  <c r="AI20" i="1"/>
  <c r="AI15" i="1"/>
  <c r="AI10" i="1"/>
  <c r="AI5" i="1"/>
  <c r="G5" i="7"/>
  <c r="A23" i="17" l="1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22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4" i="17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39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22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4" i="14"/>
  <c r="A13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39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22" i="13"/>
  <c r="A5" i="13"/>
  <c r="A6" i="13"/>
  <c r="A7" i="13"/>
  <c r="A8" i="13"/>
  <c r="A9" i="13"/>
  <c r="A10" i="13"/>
  <c r="A11" i="13"/>
  <c r="A12" i="13"/>
  <c r="A14" i="13"/>
  <c r="A15" i="13"/>
  <c r="A16" i="13"/>
  <c r="A17" i="13"/>
  <c r="A18" i="13"/>
  <c r="A19" i="13"/>
  <c r="A4" i="13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47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25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4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25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4" i="7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4" i="11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4" i="10"/>
  <c r="D20" i="6"/>
  <c r="C20" i="6"/>
  <c r="B20" i="6"/>
  <c r="D19" i="6"/>
  <c r="C19" i="6"/>
  <c r="B19" i="6"/>
  <c r="D18" i="6"/>
  <c r="C18" i="6"/>
  <c r="B18" i="6"/>
  <c r="D17" i="6"/>
  <c r="C17" i="6"/>
  <c r="B17" i="6"/>
  <c r="D16" i="6"/>
  <c r="C16" i="6"/>
  <c r="D15" i="6"/>
  <c r="C15" i="6"/>
  <c r="B15" i="6"/>
  <c r="D14" i="6"/>
  <c r="C14" i="6"/>
  <c r="B14" i="6"/>
  <c r="D13" i="6"/>
  <c r="C13" i="6"/>
  <c r="B13" i="6"/>
  <c r="D12" i="6"/>
  <c r="C11" i="6"/>
  <c r="B11" i="6"/>
  <c r="D10" i="6"/>
  <c r="C10" i="6"/>
  <c r="B10" i="6"/>
  <c r="D9" i="6"/>
  <c r="C9" i="6"/>
  <c r="B9" i="6"/>
  <c r="C8" i="6"/>
  <c r="B8" i="6"/>
  <c r="D7" i="6"/>
  <c r="C7" i="6"/>
  <c r="B7" i="6"/>
  <c r="D6" i="6"/>
  <c r="C6" i="6"/>
  <c r="B6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23" i="6"/>
  <c r="AB5" i="8"/>
  <c r="G5" i="6" s="1"/>
  <c r="B16" i="6"/>
  <c r="A20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C12" i="6"/>
  <c r="B12" i="6"/>
  <c r="D11" i="6"/>
  <c r="D8" i="6"/>
  <c r="A5" i="6"/>
  <c r="H20" i="6" l="1"/>
  <c r="G20" i="6"/>
  <c r="H19" i="6"/>
  <c r="G19" i="6"/>
  <c r="H18" i="6"/>
  <c r="G18" i="6"/>
  <c r="H17" i="6"/>
  <c r="G17" i="6"/>
  <c r="H16" i="6"/>
  <c r="G16" i="6"/>
  <c r="H15" i="6"/>
  <c r="G15" i="6"/>
  <c r="H14" i="6"/>
  <c r="G14" i="6"/>
  <c r="H13" i="6"/>
  <c r="G13" i="6"/>
  <c r="H12" i="6"/>
  <c r="G12" i="6"/>
  <c r="H11" i="6"/>
  <c r="G11" i="6"/>
  <c r="H10" i="6"/>
  <c r="G10" i="6"/>
  <c r="H9" i="6"/>
  <c r="G9" i="6"/>
  <c r="H8" i="6"/>
  <c r="G8" i="6"/>
  <c r="H7" i="6"/>
  <c r="G7" i="6"/>
  <c r="H6" i="6"/>
  <c r="G6" i="6"/>
  <c r="B23" i="13" l="1"/>
  <c r="G4" i="15" s="1"/>
  <c r="AA9" i="8"/>
  <c r="F9" i="6" s="1"/>
  <c r="AD5" i="1"/>
  <c r="D5" i="6" s="1"/>
  <c r="AC5" i="8"/>
  <c r="H5" i="6" s="1"/>
  <c r="AC5" i="1"/>
  <c r="C5" i="6" s="1"/>
  <c r="AB5" i="1"/>
  <c r="B5" i="6" s="1"/>
  <c r="H25" i="13"/>
  <c r="O10" i="15" s="1"/>
  <c r="D23" i="13"/>
  <c r="G6" i="15" s="1"/>
  <c r="D29" i="17"/>
  <c r="O39" i="15" s="1"/>
  <c r="C37" i="17"/>
  <c r="O78" i="15" s="1"/>
  <c r="B36" i="17"/>
  <c r="K77" i="15" s="1"/>
  <c r="C23" i="17"/>
  <c r="G34" i="14"/>
  <c r="C76" i="15" s="1"/>
  <c r="F31" i="14"/>
  <c r="G55" i="15" s="1"/>
  <c r="F30" i="14"/>
  <c r="C55" i="15" s="1"/>
  <c r="E31" i="14"/>
  <c r="G54" i="15" s="1"/>
  <c r="D29" i="14"/>
  <c r="O33" i="15" s="1"/>
  <c r="C29" i="14"/>
  <c r="O32" i="15" s="1"/>
  <c r="C30" i="14"/>
  <c r="C52" i="15" s="1"/>
  <c r="C25" i="14"/>
  <c r="B27" i="14"/>
  <c r="G31" i="15" s="1"/>
  <c r="B35" i="14"/>
  <c r="G71" i="15" s="1"/>
  <c r="B30" i="14"/>
  <c r="C51" i="15" s="1"/>
  <c r="B27" i="13"/>
  <c r="G24" i="15" s="1"/>
  <c r="M2" i="15"/>
  <c r="I2" i="15"/>
  <c r="E2" i="15"/>
  <c r="A2" i="15"/>
  <c r="C29" i="17"/>
  <c r="O38" i="15" s="1"/>
  <c r="B23" i="17"/>
  <c r="G17" i="15" s="1"/>
  <c r="G29" i="14"/>
  <c r="O36" i="15" s="1"/>
  <c r="F27" i="13"/>
  <c r="G28" i="15" s="1"/>
  <c r="D23" i="17"/>
  <c r="G19" i="15" s="1"/>
  <c r="D24" i="17"/>
  <c r="K19" i="15" s="1"/>
  <c r="D25" i="17"/>
  <c r="O19" i="15" s="1"/>
  <c r="D22" i="17"/>
  <c r="C19" i="15" s="1"/>
  <c r="C22" i="17"/>
  <c r="C18" i="15" s="1"/>
  <c r="B22" i="17"/>
  <c r="C17" i="15" s="1"/>
  <c r="G23" i="14"/>
  <c r="G16" i="15" s="1"/>
  <c r="D31" i="14"/>
  <c r="G53" i="15" s="1"/>
  <c r="G22" i="14"/>
  <c r="C16" i="15" s="1"/>
  <c r="F23" i="14"/>
  <c r="G15" i="15" s="1"/>
  <c r="F22" i="14"/>
  <c r="C15" i="15" s="1"/>
  <c r="E22" i="14"/>
  <c r="C14" i="15" s="1"/>
  <c r="D23" i="14"/>
  <c r="G13" i="15" s="1"/>
  <c r="D24" i="14"/>
  <c r="K13" i="15" s="1"/>
  <c r="D22" i="14"/>
  <c r="C13" i="15" s="1"/>
  <c r="C23" i="14"/>
  <c r="G12" i="15" s="1"/>
  <c r="C24" i="14"/>
  <c r="K12" i="15" s="1"/>
  <c r="C22" i="14"/>
  <c r="C12" i="15" s="1"/>
  <c r="B23" i="14"/>
  <c r="G11" i="15" s="1"/>
  <c r="B24" i="14"/>
  <c r="K11" i="15" s="1"/>
  <c r="B22" i="14"/>
  <c r="C11" i="15" s="1"/>
  <c r="H23" i="13"/>
  <c r="G10" i="15" s="1"/>
  <c r="H24" i="13"/>
  <c r="K10" i="15" s="1"/>
  <c r="H22" i="13"/>
  <c r="C10" i="15" s="1"/>
  <c r="E24" i="13"/>
  <c r="K7" i="15" s="1"/>
  <c r="F22" i="13"/>
  <c r="C8" i="15" s="1"/>
  <c r="E22" i="13"/>
  <c r="C7" i="15" s="1"/>
  <c r="D22" i="13"/>
  <c r="C6" i="15" s="1"/>
  <c r="B22" i="13"/>
  <c r="C4" i="15" s="1"/>
  <c r="B34" i="13" l="1"/>
  <c r="C64" i="15" s="1"/>
  <c r="G23" i="13"/>
  <c r="G9" i="15" s="1"/>
  <c r="D31" i="13"/>
  <c r="G46" i="15" s="1"/>
  <c r="D24" i="13"/>
  <c r="K6" i="15" s="1"/>
  <c r="D31" i="17"/>
  <c r="G59" i="15" s="1"/>
  <c r="C36" i="17"/>
  <c r="K78" i="15" s="1"/>
  <c r="C31" i="17"/>
  <c r="G58" i="15" s="1"/>
  <c r="F25" i="14"/>
  <c r="O15" i="15" s="1"/>
  <c r="F24" i="14"/>
  <c r="K15" i="15" s="1"/>
  <c r="E24" i="14"/>
  <c r="K14" i="15" s="1"/>
  <c r="E23" i="14"/>
  <c r="G14" i="15" s="1"/>
  <c r="D25" i="14"/>
  <c r="O13" i="15" s="1"/>
  <c r="B29" i="14"/>
  <c r="O31" i="15" s="1"/>
  <c r="B31" i="14"/>
  <c r="G51" i="15" s="1"/>
  <c r="H32" i="13"/>
  <c r="K50" i="15" s="1"/>
  <c r="G35" i="13"/>
  <c r="G69" i="15" s="1"/>
  <c r="G31" i="13"/>
  <c r="G49" i="15" s="1"/>
  <c r="G24" i="13"/>
  <c r="K8" i="15" s="1"/>
  <c r="G22" i="13"/>
  <c r="C9" i="15" s="1"/>
  <c r="D37" i="17"/>
  <c r="O79" i="15" s="1"/>
  <c r="D30" i="17"/>
  <c r="C59" i="15" s="1"/>
  <c r="C24" i="17"/>
  <c r="K18" i="15" s="1"/>
  <c r="B25" i="17"/>
  <c r="O17" i="15" s="1"/>
  <c r="F22" i="17"/>
  <c r="G22" i="17" s="1"/>
  <c r="F23" i="17"/>
  <c r="G23" i="17" s="1"/>
  <c r="G18" i="15"/>
  <c r="G30" i="14"/>
  <c r="C56" i="15" s="1"/>
  <c r="G37" i="14"/>
  <c r="O76" i="15" s="1"/>
  <c r="G26" i="14"/>
  <c r="C36" i="15" s="1"/>
  <c r="E35" i="14"/>
  <c r="G74" i="15" s="1"/>
  <c r="E27" i="14"/>
  <c r="G34" i="15" s="1"/>
  <c r="E30" i="14"/>
  <c r="C54" i="15" s="1"/>
  <c r="D30" i="14"/>
  <c r="C53" i="15" s="1"/>
  <c r="C31" i="14"/>
  <c r="G52" i="15" s="1"/>
  <c r="C37" i="14"/>
  <c r="O72" i="15" s="1"/>
  <c r="B39" i="14"/>
  <c r="C39" i="14" s="1"/>
  <c r="B37" i="14"/>
  <c r="O71" i="15" s="1"/>
  <c r="O12" i="15"/>
  <c r="H31" i="13"/>
  <c r="G50" i="15" s="1"/>
  <c r="G30" i="13"/>
  <c r="C49" i="15" s="1"/>
  <c r="G27" i="13"/>
  <c r="G29" i="15" s="1"/>
  <c r="F30" i="13"/>
  <c r="C48" i="15" s="1"/>
  <c r="F29" i="13"/>
  <c r="O28" i="15" s="1"/>
  <c r="D36" i="17"/>
  <c r="D28" i="17"/>
  <c r="K39" i="15" s="1"/>
  <c r="D35" i="17"/>
  <c r="G79" i="15" s="1"/>
  <c r="D27" i="17"/>
  <c r="G39" i="15" s="1"/>
  <c r="D33" i="17"/>
  <c r="O59" i="15" s="1"/>
  <c r="D26" i="17"/>
  <c r="C39" i="15" s="1"/>
  <c r="D32" i="17"/>
  <c r="K59" i="15" s="1"/>
  <c r="D34" i="17"/>
  <c r="C79" i="15" s="1"/>
  <c r="C30" i="17"/>
  <c r="C28" i="17"/>
  <c r="C34" i="17"/>
  <c r="C26" i="17"/>
  <c r="C35" i="17"/>
  <c r="C33" i="17"/>
  <c r="C25" i="17"/>
  <c r="C32" i="17"/>
  <c r="C27" i="17"/>
  <c r="B30" i="17"/>
  <c r="C57" i="15" s="1"/>
  <c r="B32" i="17"/>
  <c r="K57" i="15" s="1"/>
  <c r="B24" i="17"/>
  <c r="K17" i="15" s="1"/>
  <c r="B31" i="17"/>
  <c r="G57" i="15" s="1"/>
  <c r="B37" i="17"/>
  <c r="O77" i="15" s="1"/>
  <c r="B29" i="17"/>
  <c r="O37" i="15" s="1"/>
  <c r="B33" i="17"/>
  <c r="O57" i="15" s="1"/>
  <c r="B28" i="17"/>
  <c r="K37" i="15" s="1"/>
  <c r="B35" i="17"/>
  <c r="G77" i="15" s="1"/>
  <c r="B27" i="17"/>
  <c r="G37" i="15" s="1"/>
  <c r="B34" i="17"/>
  <c r="C77" i="15" s="1"/>
  <c r="B26" i="17"/>
  <c r="C37" i="15" s="1"/>
  <c r="G36" i="14"/>
  <c r="K76" i="15" s="1"/>
  <c r="G28" i="14"/>
  <c r="K36" i="15" s="1"/>
  <c r="G35" i="14"/>
  <c r="G76" i="15" s="1"/>
  <c r="G27" i="14"/>
  <c r="G33" i="14"/>
  <c r="O56" i="15" s="1"/>
  <c r="G25" i="14"/>
  <c r="O16" i="15" s="1"/>
  <c r="G32" i="14"/>
  <c r="K56" i="15" s="1"/>
  <c r="G24" i="14"/>
  <c r="K16" i="15" s="1"/>
  <c r="G31" i="14"/>
  <c r="G56" i="15" s="1"/>
  <c r="F36" i="14"/>
  <c r="K75" i="15" s="1"/>
  <c r="F28" i="14"/>
  <c r="K35" i="15" s="1"/>
  <c r="F35" i="14"/>
  <c r="G75" i="15" s="1"/>
  <c r="F27" i="14"/>
  <c r="G35" i="15" s="1"/>
  <c r="F34" i="14"/>
  <c r="C75" i="15" s="1"/>
  <c r="F26" i="14"/>
  <c r="C35" i="15" s="1"/>
  <c r="F29" i="14"/>
  <c r="O35" i="15" s="1"/>
  <c r="F33" i="14"/>
  <c r="O55" i="15" s="1"/>
  <c r="F37" i="14"/>
  <c r="O75" i="15" s="1"/>
  <c r="F32" i="14"/>
  <c r="K55" i="15" s="1"/>
  <c r="E37" i="14"/>
  <c r="O74" i="15" s="1"/>
  <c r="E29" i="14"/>
  <c r="O34" i="15" s="1"/>
  <c r="E36" i="14"/>
  <c r="K74" i="15" s="1"/>
  <c r="E28" i="14"/>
  <c r="K34" i="15" s="1"/>
  <c r="E34" i="14"/>
  <c r="C74" i="15" s="1"/>
  <c r="E26" i="14"/>
  <c r="C34" i="15" s="1"/>
  <c r="E33" i="14"/>
  <c r="O54" i="15" s="1"/>
  <c r="E25" i="14"/>
  <c r="O14" i="15" s="1"/>
  <c r="E32" i="14"/>
  <c r="K54" i="15" s="1"/>
  <c r="D36" i="14"/>
  <c r="K73" i="15" s="1"/>
  <c r="D28" i="14"/>
  <c r="K33" i="15" s="1"/>
  <c r="D35" i="14"/>
  <c r="G73" i="15" s="1"/>
  <c r="D27" i="14"/>
  <c r="G33" i="15" s="1"/>
  <c r="D37" i="14"/>
  <c r="O73" i="15" s="1"/>
  <c r="D34" i="14"/>
  <c r="C73" i="15" s="1"/>
  <c r="D26" i="14"/>
  <c r="C33" i="15" s="1"/>
  <c r="D33" i="14"/>
  <c r="O53" i="15" s="1"/>
  <c r="D32" i="14"/>
  <c r="K53" i="15" s="1"/>
  <c r="C35" i="14"/>
  <c r="C27" i="14"/>
  <c r="C28" i="14"/>
  <c r="C34" i="14"/>
  <c r="C26" i="14"/>
  <c r="C33" i="14"/>
  <c r="C32" i="14"/>
  <c r="C36" i="14"/>
  <c r="B36" i="14"/>
  <c r="K71" i="15" s="1"/>
  <c r="B28" i="14"/>
  <c r="K31" i="15" s="1"/>
  <c r="B34" i="14"/>
  <c r="C71" i="15" s="1"/>
  <c r="B26" i="14"/>
  <c r="C31" i="15" s="1"/>
  <c r="B33" i="14"/>
  <c r="O51" i="15" s="1"/>
  <c r="B25" i="14"/>
  <c r="O11" i="15" s="1"/>
  <c r="B32" i="14"/>
  <c r="K51" i="15" s="1"/>
  <c r="D36" i="13"/>
  <c r="K66" i="15" s="1"/>
  <c r="D28" i="13"/>
  <c r="K26" i="15" s="1"/>
  <c r="D30" i="13"/>
  <c r="C46" i="15" s="1"/>
  <c r="D27" i="13"/>
  <c r="G26" i="15" s="1"/>
  <c r="D34" i="13"/>
  <c r="C66" i="15" s="1"/>
  <c r="D26" i="13"/>
  <c r="C26" i="15" s="1"/>
  <c r="D37" i="13"/>
  <c r="O66" i="15" s="1"/>
  <c r="D35" i="13"/>
  <c r="G66" i="15" s="1"/>
  <c r="D33" i="13"/>
  <c r="O46" i="15" s="1"/>
  <c r="D25" i="13"/>
  <c r="O6" i="15" s="1"/>
  <c r="D29" i="13"/>
  <c r="O26" i="15" s="1"/>
  <c r="D32" i="13"/>
  <c r="K46" i="15" s="1"/>
  <c r="C23" i="13"/>
  <c r="C22" i="13"/>
  <c r="C5" i="15" s="1"/>
  <c r="C30" i="13"/>
  <c r="C37" i="13"/>
  <c r="C29" i="13"/>
  <c r="C36" i="13"/>
  <c r="C28" i="13"/>
  <c r="C27" i="13"/>
  <c r="C34" i="13"/>
  <c r="C26" i="13"/>
  <c r="C35" i="13"/>
  <c r="C33" i="13"/>
  <c r="C25" i="13"/>
  <c r="C32" i="13"/>
  <c r="C24" i="13"/>
  <c r="C31" i="13"/>
  <c r="B32" i="13"/>
  <c r="K44" i="15" s="1"/>
  <c r="B31" i="13"/>
  <c r="G44" i="15" s="1"/>
  <c r="B33" i="13"/>
  <c r="O44" i="15" s="1"/>
  <c r="B30" i="13"/>
  <c r="C44" i="15" s="1"/>
  <c r="B37" i="13"/>
  <c r="O64" i="15" s="1"/>
  <c r="B28" i="13"/>
  <c r="K24" i="15" s="1"/>
  <c r="B29" i="13"/>
  <c r="O24" i="15" s="1"/>
  <c r="B36" i="13"/>
  <c r="K64" i="15" s="1"/>
  <c r="B35" i="13"/>
  <c r="G64" i="15" s="1"/>
  <c r="F23" i="13"/>
  <c r="G8" i="15" s="1"/>
  <c r="F24" i="13"/>
  <c r="F31" i="13"/>
  <c r="G48" i="15" s="1"/>
  <c r="F35" i="13"/>
  <c r="G68" i="15" s="1"/>
  <c r="F37" i="13"/>
  <c r="O68" i="15" s="1"/>
  <c r="H30" i="13"/>
  <c r="C50" i="15" s="1"/>
  <c r="H37" i="13"/>
  <c r="O70" i="15" s="1"/>
  <c r="H29" i="13"/>
  <c r="O30" i="15" s="1"/>
  <c r="H28" i="13"/>
  <c r="K30" i="15" s="1"/>
  <c r="H35" i="13"/>
  <c r="G70" i="15" s="1"/>
  <c r="H34" i="13"/>
  <c r="C70" i="15" s="1"/>
  <c r="H26" i="13"/>
  <c r="C30" i="15" s="1"/>
  <c r="H36" i="13"/>
  <c r="K70" i="15" s="1"/>
  <c r="H27" i="13"/>
  <c r="H33" i="13"/>
  <c r="O50" i="15" s="1"/>
  <c r="G37" i="13"/>
  <c r="O69" i="15" s="1"/>
  <c r="G29" i="13"/>
  <c r="O29" i="15" s="1"/>
  <c r="G36" i="13"/>
  <c r="K69" i="15" s="1"/>
  <c r="G28" i="13"/>
  <c r="K29" i="15" s="1"/>
  <c r="G34" i="13"/>
  <c r="C69" i="15" s="1"/>
  <c r="G33" i="13"/>
  <c r="O49" i="15" s="1"/>
  <c r="G25" i="13"/>
  <c r="O9" i="15" s="1"/>
  <c r="G26" i="13"/>
  <c r="C29" i="15" s="1"/>
  <c r="G32" i="13"/>
  <c r="K49" i="15" s="1"/>
  <c r="F36" i="13"/>
  <c r="K68" i="15" s="1"/>
  <c r="F28" i="13"/>
  <c r="K28" i="15" s="1"/>
  <c r="F34" i="13"/>
  <c r="C68" i="15" s="1"/>
  <c r="F26" i="13"/>
  <c r="C28" i="15" s="1"/>
  <c r="F33" i="13"/>
  <c r="O48" i="15" s="1"/>
  <c r="F25" i="13"/>
  <c r="O8" i="15" s="1"/>
  <c r="F32" i="13"/>
  <c r="K48" i="15" s="1"/>
  <c r="E31" i="13"/>
  <c r="G47" i="15" s="1"/>
  <c r="E23" i="13"/>
  <c r="G7" i="15" s="1"/>
  <c r="E30" i="13"/>
  <c r="C47" i="15" s="1"/>
  <c r="E37" i="13"/>
  <c r="O67" i="15" s="1"/>
  <c r="E29" i="13"/>
  <c r="O27" i="15" s="1"/>
  <c r="E36" i="13"/>
  <c r="K67" i="15" s="1"/>
  <c r="E28" i="13"/>
  <c r="K27" i="15" s="1"/>
  <c r="E35" i="13"/>
  <c r="G67" i="15" s="1"/>
  <c r="E27" i="13"/>
  <c r="G27" i="15" s="1"/>
  <c r="E34" i="13"/>
  <c r="C67" i="15" s="1"/>
  <c r="E26" i="13"/>
  <c r="C27" i="15" s="1"/>
  <c r="E33" i="13"/>
  <c r="O47" i="15" s="1"/>
  <c r="E25" i="13"/>
  <c r="O7" i="15" s="1"/>
  <c r="E32" i="13"/>
  <c r="K47" i="15" s="1"/>
  <c r="B26" i="13"/>
  <c r="C24" i="15" s="1"/>
  <c r="B25" i="13"/>
  <c r="O4" i="15" s="1"/>
  <c r="B24" i="13"/>
  <c r="K4" i="15" s="1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4" i="17"/>
  <c r="AA5" i="8"/>
  <c r="F5" i="6" s="1"/>
  <c r="N4" i="7"/>
  <c r="L4" i="7"/>
  <c r="O4" i="7"/>
  <c r="P4" i="7"/>
  <c r="P20" i="7" s="1"/>
  <c r="AA6" i="8"/>
  <c r="F6" i="6" s="1"/>
  <c r="M5" i="7"/>
  <c r="O5" i="7"/>
  <c r="P5" i="7"/>
  <c r="AA7" i="8"/>
  <c r="F7" i="6" s="1"/>
  <c r="M6" i="7"/>
  <c r="O6" i="7"/>
  <c r="P6" i="7"/>
  <c r="AA8" i="8"/>
  <c r="F8" i="6" s="1"/>
  <c r="M7" i="7"/>
  <c r="O7" i="7"/>
  <c r="P7" i="7"/>
  <c r="M8" i="7"/>
  <c r="O8" i="7"/>
  <c r="P8" i="7"/>
  <c r="AA10" i="8"/>
  <c r="F10" i="6" s="1"/>
  <c r="M9" i="7"/>
  <c r="O9" i="7"/>
  <c r="P9" i="7"/>
  <c r="AA11" i="8"/>
  <c r="F11" i="6" s="1"/>
  <c r="M10" i="7"/>
  <c r="O10" i="7"/>
  <c r="P10" i="7"/>
  <c r="AA12" i="8"/>
  <c r="F12" i="6" s="1"/>
  <c r="M11" i="7"/>
  <c r="O11" i="7"/>
  <c r="P11" i="7"/>
  <c r="AA13" i="8"/>
  <c r="F13" i="6" s="1"/>
  <c r="O12" i="7"/>
  <c r="P12" i="7"/>
  <c r="AA14" i="8"/>
  <c r="F14" i="6" s="1"/>
  <c r="O13" i="7"/>
  <c r="P13" i="7"/>
  <c r="AA15" i="8"/>
  <c r="F15" i="6" s="1"/>
  <c r="M14" i="7"/>
  <c r="O14" i="7"/>
  <c r="P14" i="7"/>
  <c r="AA16" i="8"/>
  <c r="F16" i="6" s="1"/>
  <c r="M15" i="7"/>
  <c r="O15" i="7"/>
  <c r="P15" i="7"/>
  <c r="AA17" i="8"/>
  <c r="F17" i="6" s="1"/>
  <c r="M16" i="7"/>
  <c r="O16" i="7"/>
  <c r="P16" i="7"/>
  <c r="AA18" i="8"/>
  <c r="F18" i="6" s="1"/>
  <c r="M17" i="7"/>
  <c r="O17" i="7"/>
  <c r="P17" i="7"/>
  <c r="AA19" i="8"/>
  <c r="F19" i="6" s="1"/>
  <c r="M18" i="7"/>
  <c r="O18" i="7"/>
  <c r="P18" i="7"/>
  <c r="AA20" i="8"/>
  <c r="F20" i="6" s="1"/>
  <c r="M19" i="7"/>
  <c r="O19" i="7"/>
  <c r="P19" i="7"/>
  <c r="B4" i="7"/>
  <c r="C4" i="13"/>
  <c r="D4" i="13"/>
  <c r="G4" i="13"/>
  <c r="H4" i="13"/>
  <c r="F5" i="13"/>
  <c r="C5" i="7"/>
  <c r="D5" i="13"/>
  <c r="G5" i="13"/>
  <c r="H5" i="13"/>
  <c r="F6" i="13"/>
  <c r="C6" i="7"/>
  <c r="D6" i="13"/>
  <c r="G6" i="13"/>
  <c r="H6" i="13"/>
  <c r="B7" i="13"/>
  <c r="C7" i="13"/>
  <c r="D7" i="13"/>
  <c r="G7" i="13"/>
  <c r="H7" i="13"/>
  <c r="F8" i="13"/>
  <c r="C8" i="13"/>
  <c r="D8" i="13"/>
  <c r="G8" i="13"/>
  <c r="H8" i="13"/>
  <c r="B9" i="13"/>
  <c r="C9" i="13"/>
  <c r="D9" i="13"/>
  <c r="G9" i="13"/>
  <c r="H9" i="13"/>
  <c r="B10" i="7"/>
  <c r="C10" i="13"/>
  <c r="D10" i="13"/>
  <c r="G10" i="13"/>
  <c r="H10" i="13"/>
  <c r="B11" i="7"/>
  <c r="C11" i="13"/>
  <c r="D11" i="13"/>
  <c r="G11" i="13"/>
  <c r="H11" i="13"/>
  <c r="B12" i="13"/>
  <c r="C12" i="13"/>
  <c r="D12" i="13"/>
  <c r="G12" i="13"/>
  <c r="H12" i="13"/>
  <c r="F13" i="13"/>
  <c r="C13" i="13"/>
  <c r="D13" i="13"/>
  <c r="G13" i="13"/>
  <c r="H13" i="13"/>
  <c r="B14" i="13"/>
  <c r="C14" i="13"/>
  <c r="D14" i="13"/>
  <c r="G14" i="13"/>
  <c r="H14" i="13"/>
  <c r="B15" i="13"/>
  <c r="C15" i="13"/>
  <c r="D15" i="13"/>
  <c r="G15" i="13"/>
  <c r="H15" i="13"/>
  <c r="F16" i="13"/>
  <c r="C16" i="13"/>
  <c r="D16" i="13"/>
  <c r="G16" i="13"/>
  <c r="H16" i="13"/>
  <c r="F17" i="13"/>
  <c r="C17" i="7"/>
  <c r="D17" i="13"/>
  <c r="G17" i="13"/>
  <c r="H17" i="13"/>
  <c r="B18" i="13"/>
  <c r="C18" i="13"/>
  <c r="D18" i="13"/>
  <c r="G18" i="13"/>
  <c r="H18" i="13"/>
  <c r="B19" i="13"/>
  <c r="C19" i="13"/>
  <c r="D19" i="13"/>
  <c r="G19" i="13"/>
  <c r="H19" i="13"/>
  <c r="C4" i="10"/>
  <c r="D4" i="10"/>
  <c r="E4" i="10"/>
  <c r="C5" i="10"/>
  <c r="D5" i="10"/>
  <c r="E5" i="10"/>
  <c r="C6" i="10"/>
  <c r="D6" i="10"/>
  <c r="E6" i="10"/>
  <c r="C7" i="10"/>
  <c r="D7" i="10"/>
  <c r="E7" i="10"/>
  <c r="C8" i="10"/>
  <c r="D8" i="10"/>
  <c r="E8" i="10"/>
  <c r="C9" i="10"/>
  <c r="D9" i="10"/>
  <c r="E9" i="10"/>
  <c r="C10" i="10"/>
  <c r="D10" i="10"/>
  <c r="E10" i="10"/>
  <c r="C11" i="10"/>
  <c r="D11" i="10"/>
  <c r="E11" i="10"/>
  <c r="C12" i="10"/>
  <c r="D12" i="10"/>
  <c r="E12" i="10"/>
  <c r="C13" i="10"/>
  <c r="D13" i="10"/>
  <c r="E13" i="10"/>
  <c r="C14" i="10"/>
  <c r="D14" i="10"/>
  <c r="E14" i="10"/>
  <c r="C15" i="10"/>
  <c r="D15" i="10"/>
  <c r="E15" i="10"/>
  <c r="C16" i="10"/>
  <c r="D16" i="10"/>
  <c r="E16" i="10"/>
  <c r="C17" i="10"/>
  <c r="D17" i="10"/>
  <c r="E17" i="10"/>
  <c r="C18" i="10"/>
  <c r="D18" i="10"/>
  <c r="E18" i="10"/>
  <c r="C19" i="10"/>
  <c r="D19" i="10"/>
  <c r="E19" i="10"/>
  <c r="M62" i="15"/>
  <c r="I62" i="15"/>
  <c r="E62" i="15"/>
  <c r="A62" i="15"/>
  <c r="M42" i="15"/>
  <c r="I42" i="15"/>
  <c r="E42" i="15"/>
  <c r="A42" i="15"/>
  <c r="M22" i="15"/>
  <c r="I22" i="15"/>
  <c r="E22" i="15"/>
  <c r="A22" i="15"/>
  <c r="D20" i="13" l="1"/>
  <c r="B20" i="17"/>
  <c r="H20" i="13"/>
  <c r="G20" i="13"/>
  <c r="O20" i="7"/>
  <c r="B40" i="14"/>
  <c r="C40" i="14" s="1"/>
  <c r="N16" i="7"/>
  <c r="N18" i="7"/>
  <c r="N13" i="7"/>
  <c r="N8" i="7"/>
  <c r="N9" i="7"/>
  <c r="N6" i="7"/>
  <c r="N10" i="7"/>
  <c r="K5" i="7"/>
  <c r="N5" i="7"/>
  <c r="N20" i="7" s="1"/>
  <c r="N15" i="7"/>
  <c r="N12" i="7"/>
  <c r="N7" i="7"/>
  <c r="N14" i="7"/>
  <c r="N17" i="7"/>
  <c r="M4" i="7"/>
  <c r="L18" i="7"/>
  <c r="K12" i="7"/>
  <c r="K18" i="7"/>
  <c r="K10" i="7"/>
  <c r="K8" i="7"/>
  <c r="K16" i="7"/>
  <c r="L7" i="7"/>
  <c r="L15" i="7"/>
  <c r="K7" i="7"/>
  <c r="K15" i="7"/>
  <c r="L11" i="7"/>
  <c r="L19" i="7"/>
  <c r="L10" i="7"/>
  <c r="N19" i="7"/>
  <c r="K19" i="7"/>
  <c r="M12" i="7"/>
  <c r="L12" i="7"/>
  <c r="N11" i="7"/>
  <c r="K11" i="7"/>
  <c r="M13" i="7"/>
  <c r="L13" i="7"/>
  <c r="L14" i="7"/>
  <c r="L6" i="7"/>
  <c r="K14" i="7"/>
  <c r="K6" i="7"/>
  <c r="L17" i="7"/>
  <c r="L9" i="7"/>
  <c r="L5" i="7"/>
  <c r="L20" i="7" s="1"/>
  <c r="K17" i="7"/>
  <c r="K13" i="7"/>
  <c r="K9" i="7"/>
  <c r="K4" i="7"/>
  <c r="L16" i="7"/>
  <c r="L8" i="7"/>
  <c r="F31" i="17"/>
  <c r="G31" i="17" s="1"/>
  <c r="K9" i="15"/>
  <c r="D17" i="7"/>
  <c r="S19" i="7"/>
  <c r="F24" i="17"/>
  <c r="G24" i="17" s="1"/>
  <c r="F29" i="17"/>
  <c r="G29" i="17" s="1"/>
  <c r="F37" i="17"/>
  <c r="G37" i="17" s="1"/>
  <c r="K79" i="15"/>
  <c r="F36" i="17"/>
  <c r="G36" i="17" s="1"/>
  <c r="F34" i="17"/>
  <c r="G34" i="17" s="1"/>
  <c r="C78" i="15"/>
  <c r="F28" i="17"/>
  <c r="G28" i="17" s="1"/>
  <c r="K38" i="15"/>
  <c r="G38" i="15"/>
  <c r="F27" i="17"/>
  <c r="G27" i="17" s="1"/>
  <c r="F25" i="17"/>
  <c r="G25" i="17" s="1"/>
  <c r="O18" i="15"/>
  <c r="F35" i="17"/>
  <c r="G35" i="17" s="1"/>
  <c r="G78" i="15"/>
  <c r="F26" i="17"/>
  <c r="G26" i="17" s="1"/>
  <c r="C38" i="15"/>
  <c r="C58" i="15"/>
  <c r="F30" i="17"/>
  <c r="G30" i="17" s="1"/>
  <c r="K58" i="15"/>
  <c r="F32" i="17"/>
  <c r="G32" i="17" s="1"/>
  <c r="O58" i="15"/>
  <c r="F33" i="17"/>
  <c r="G33" i="17" s="1"/>
  <c r="B41" i="14"/>
  <c r="C41" i="14" s="1"/>
  <c r="B48" i="14"/>
  <c r="C48" i="14" s="1"/>
  <c r="G30" i="15"/>
  <c r="G36" i="15"/>
  <c r="B47" i="14"/>
  <c r="C47" i="14" s="1"/>
  <c r="B46" i="14"/>
  <c r="C46" i="14" s="1"/>
  <c r="B54" i="14"/>
  <c r="C54" i="14" s="1"/>
  <c r="B42" i="14"/>
  <c r="C42" i="14" s="1"/>
  <c r="B51" i="14"/>
  <c r="C51" i="14" s="1"/>
  <c r="C72" i="15"/>
  <c r="B45" i="14"/>
  <c r="C45" i="14" s="1"/>
  <c r="K32" i="15"/>
  <c r="G32" i="15"/>
  <c r="B44" i="14"/>
  <c r="C44" i="14" s="1"/>
  <c r="G72" i="15"/>
  <c r="B52" i="14"/>
  <c r="C52" i="14" s="1"/>
  <c r="B53" i="14"/>
  <c r="C53" i="14" s="1"/>
  <c r="K72" i="15"/>
  <c r="O52" i="15"/>
  <c r="B50" i="14"/>
  <c r="C50" i="14" s="1"/>
  <c r="K52" i="15"/>
  <c r="B49" i="14"/>
  <c r="C49" i="14" s="1"/>
  <c r="C32" i="15"/>
  <c r="B43" i="14"/>
  <c r="C43" i="14" s="1"/>
  <c r="B47" i="13"/>
  <c r="C47" i="13" s="1"/>
  <c r="C45" i="15"/>
  <c r="B39" i="13"/>
  <c r="C39" i="13" s="1"/>
  <c r="B40" i="13"/>
  <c r="C40" i="13" s="1"/>
  <c r="G5" i="15"/>
  <c r="B44" i="13"/>
  <c r="C44" i="13" s="1"/>
  <c r="G25" i="15"/>
  <c r="B50" i="13"/>
  <c r="C50" i="13" s="1"/>
  <c r="O45" i="15"/>
  <c r="G65" i="15"/>
  <c r="B52" i="13"/>
  <c r="C52" i="13" s="1"/>
  <c r="B48" i="13"/>
  <c r="C48" i="13" s="1"/>
  <c r="G45" i="15"/>
  <c r="K5" i="15"/>
  <c r="B41" i="13"/>
  <c r="C41" i="13" s="1"/>
  <c r="B45" i="13"/>
  <c r="C45" i="13" s="1"/>
  <c r="K25" i="15"/>
  <c r="K45" i="15"/>
  <c r="B49" i="13"/>
  <c r="C49" i="13" s="1"/>
  <c r="K65" i="15"/>
  <c r="B53" i="13"/>
  <c r="C53" i="13" s="1"/>
  <c r="B43" i="13"/>
  <c r="C43" i="13" s="1"/>
  <c r="C25" i="15"/>
  <c r="B51" i="13"/>
  <c r="C51" i="13" s="1"/>
  <c r="C65" i="15"/>
  <c r="O5" i="15"/>
  <c r="B42" i="13"/>
  <c r="C42" i="13" s="1"/>
  <c r="O25" i="15"/>
  <c r="B46" i="13"/>
  <c r="C46" i="13" s="1"/>
  <c r="O65" i="15"/>
  <c r="B54" i="13"/>
  <c r="C54" i="13" s="1"/>
  <c r="C12" i="7"/>
  <c r="B17" i="7"/>
  <c r="B9" i="7"/>
  <c r="S13" i="7"/>
  <c r="S4" i="7"/>
  <c r="S12" i="7"/>
  <c r="H12" i="7"/>
  <c r="S5" i="7"/>
  <c r="G12" i="7"/>
  <c r="B8" i="7"/>
  <c r="B16" i="7"/>
  <c r="H7" i="7"/>
  <c r="S11" i="7"/>
  <c r="H15" i="7"/>
  <c r="C11" i="7"/>
  <c r="D7" i="7"/>
  <c r="S18" i="7"/>
  <c r="S10" i="7"/>
  <c r="D15" i="7"/>
  <c r="D6" i="7"/>
  <c r="S17" i="7"/>
  <c r="S9" i="7"/>
  <c r="C19" i="7"/>
  <c r="D14" i="7"/>
  <c r="G10" i="7"/>
  <c r="S16" i="7"/>
  <c r="S8" i="7"/>
  <c r="B19" i="7"/>
  <c r="C14" i="7"/>
  <c r="J45" i="15" s="1"/>
  <c r="G9" i="7"/>
  <c r="H5" i="7"/>
  <c r="S15" i="7"/>
  <c r="S7" i="7"/>
  <c r="G18" i="7"/>
  <c r="H13" i="7"/>
  <c r="D9" i="7"/>
  <c r="S14" i="7"/>
  <c r="S6" i="7"/>
  <c r="G17" i="7"/>
  <c r="H4" i="7"/>
  <c r="G4" i="7"/>
  <c r="H18" i="7"/>
  <c r="G15" i="7"/>
  <c r="B14" i="7"/>
  <c r="D12" i="7"/>
  <c r="H10" i="7"/>
  <c r="C9" i="7"/>
  <c r="G7" i="7"/>
  <c r="B6" i="7"/>
  <c r="D4" i="7"/>
  <c r="C4" i="7"/>
  <c r="D18" i="7"/>
  <c r="H16" i="7"/>
  <c r="C15" i="7"/>
  <c r="G13" i="7"/>
  <c r="B12" i="7"/>
  <c r="D10" i="7"/>
  <c r="H8" i="7"/>
  <c r="C7" i="7"/>
  <c r="H19" i="7"/>
  <c r="C18" i="7"/>
  <c r="G16" i="7"/>
  <c r="B15" i="7"/>
  <c r="D13" i="7"/>
  <c r="H11" i="7"/>
  <c r="C10" i="7"/>
  <c r="G8" i="7"/>
  <c r="B7" i="7"/>
  <c r="D5" i="7"/>
  <c r="G19" i="7"/>
  <c r="B18" i="7"/>
  <c r="D16" i="7"/>
  <c r="H14" i="7"/>
  <c r="C13" i="7"/>
  <c r="G11" i="7"/>
  <c r="D8" i="7"/>
  <c r="H6" i="7"/>
  <c r="D19" i="7"/>
  <c r="H17" i="7"/>
  <c r="C16" i="7"/>
  <c r="B65" i="15" s="1"/>
  <c r="G14" i="7"/>
  <c r="B13" i="7"/>
  <c r="D11" i="7"/>
  <c r="H9" i="7"/>
  <c r="C8" i="7"/>
  <c r="G6" i="7"/>
  <c r="B5" i="7"/>
  <c r="F13" i="7"/>
  <c r="F5" i="7"/>
  <c r="F6" i="7"/>
  <c r="F16" i="7"/>
  <c r="F8" i="7"/>
  <c r="F17" i="7"/>
  <c r="C6" i="13"/>
  <c r="B6" i="13"/>
  <c r="B17" i="13"/>
  <c r="B11" i="13"/>
  <c r="B16" i="13"/>
  <c r="B8" i="13"/>
  <c r="C5" i="13"/>
  <c r="B13" i="13"/>
  <c r="B5" i="13"/>
  <c r="B4" i="13"/>
  <c r="B10" i="13"/>
  <c r="C17" i="13"/>
  <c r="B10" i="15"/>
  <c r="B6" i="15"/>
  <c r="J5" i="15"/>
  <c r="B5" i="15"/>
  <c r="C13" i="11"/>
  <c r="C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4" i="11"/>
  <c r="H20" i="7" l="1"/>
  <c r="B20" i="13"/>
  <c r="C20" i="13"/>
  <c r="M20" i="7"/>
  <c r="B4" i="14"/>
  <c r="K20" i="7"/>
  <c r="G20" i="7"/>
  <c r="D20" i="7"/>
  <c r="B20" i="7"/>
  <c r="N45" i="15"/>
  <c r="C20" i="7"/>
  <c r="N5" i="15"/>
  <c r="B25" i="15"/>
  <c r="F45" i="15"/>
  <c r="E8" i="14"/>
  <c r="E12" i="14"/>
  <c r="C15" i="14"/>
  <c r="C11" i="14"/>
  <c r="C7" i="14"/>
  <c r="B74" i="15"/>
  <c r="B31" i="15"/>
  <c r="B8" i="14"/>
  <c r="J35" i="15"/>
  <c r="F10" i="14"/>
  <c r="B51" i="15"/>
  <c r="B12" i="14"/>
  <c r="D11" i="14"/>
  <c r="N33" i="15"/>
  <c r="B54" i="15"/>
  <c r="F13" i="14"/>
  <c r="F55" i="15"/>
  <c r="F5" i="14"/>
  <c r="F15" i="15"/>
  <c r="F54" i="15"/>
  <c r="E13" i="14"/>
  <c r="B52" i="15"/>
  <c r="C12" i="14"/>
  <c r="J55" i="15"/>
  <c r="F14" i="14"/>
  <c r="J73" i="15"/>
  <c r="D18" i="14"/>
  <c r="F4" i="14"/>
  <c r="B32" i="15"/>
  <c r="C8" i="14"/>
  <c r="E4" i="14"/>
  <c r="C4" i="14"/>
  <c r="J15" i="15"/>
  <c r="F6" i="14"/>
  <c r="B19" i="14"/>
  <c r="N71" i="15"/>
  <c r="B11" i="14"/>
  <c r="N31" i="15"/>
  <c r="C19" i="14"/>
  <c r="N72" i="15"/>
  <c r="B18" i="14"/>
  <c r="J71" i="15"/>
  <c r="B10" i="14"/>
  <c r="J31" i="15"/>
  <c r="J33" i="15"/>
  <c r="D10" i="14"/>
  <c r="F12" i="14"/>
  <c r="B55" i="15"/>
  <c r="F71" i="15"/>
  <c r="B17" i="14"/>
  <c r="F31" i="15"/>
  <c r="B9" i="14"/>
  <c r="F72" i="15"/>
  <c r="C17" i="14"/>
  <c r="F32" i="15"/>
  <c r="C9" i="14"/>
  <c r="N75" i="15"/>
  <c r="F19" i="14"/>
  <c r="N35" i="15"/>
  <c r="F11" i="14"/>
  <c r="G4" i="14"/>
  <c r="G20" i="14" s="1"/>
  <c r="G12" i="14"/>
  <c r="B56" i="15"/>
  <c r="E15" i="14"/>
  <c r="N54" i="15"/>
  <c r="N14" i="15"/>
  <c r="E7" i="14"/>
  <c r="D15" i="14"/>
  <c r="N53" i="15"/>
  <c r="D7" i="14"/>
  <c r="N13" i="15"/>
  <c r="F17" i="14"/>
  <c r="F75" i="15"/>
  <c r="F9" i="14"/>
  <c r="F35" i="15"/>
  <c r="C16" i="14"/>
  <c r="B72" i="15"/>
  <c r="J54" i="15"/>
  <c r="E14" i="14"/>
  <c r="J14" i="15"/>
  <c r="E6" i="14"/>
  <c r="J53" i="15"/>
  <c r="D14" i="14"/>
  <c r="J13" i="15"/>
  <c r="D6" i="14"/>
  <c r="F16" i="14"/>
  <c r="B75" i="15"/>
  <c r="F8" i="14"/>
  <c r="B35" i="15"/>
  <c r="B71" i="15"/>
  <c r="B16" i="14"/>
  <c r="J75" i="15"/>
  <c r="F18" i="14"/>
  <c r="E5" i="14"/>
  <c r="F14" i="15"/>
  <c r="D13" i="14"/>
  <c r="F53" i="15"/>
  <c r="D5" i="14"/>
  <c r="N55" i="15"/>
  <c r="F15" i="14"/>
  <c r="N15" i="15"/>
  <c r="F7" i="14"/>
  <c r="G16" i="14"/>
  <c r="B76" i="15"/>
  <c r="B36" i="15"/>
  <c r="G8" i="14"/>
  <c r="N76" i="15"/>
  <c r="G19" i="14"/>
  <c r="G17" i="14"/>
  <c r="F76" i="15"/>
  <c r="N56" i="15"/>
  <c r="G15" i="14"/>
  <c r="G13" i="14"/>
  <c r="F56" i="15"/>
  <c r="N36" i="15"/>
  <c r="G11" i="14"/>
  <c r="G9" i="14"/>
  <c r="F36" i="15"/>
  <c r="N16" i="15"/>
  <c r="G7" i="14"/>
  <c r="F16" i="15"/>
  <c r="G5" i="14"/>
  <c r="N52" i="15"/>
  <c r="N32" i="15"/>
  <c r="N12" i="15"/>
  <c r="J76" i="15"/>
  <c r="G18" i="14"/>
  <c r="J56" i="15"/>
  <c r="G14" i="14"/>
  <c r="J36" i="15"/>
  <c r="G10" i="14"/>
  <c r="G6" i="14"/>
  <c r="J16" i="15"/>
  <c r="E8" i="13"/>
  <c r="E8" i="7"/>
  <c r="E6" i="13"/>
  <c r="E6" i="7"/>
  <c r="F9" i="13"/>
  <c r="F9" i="7"/>
  <c r="E9" i="13"/>
  <c r="E9" i="7"/>
  <c r="E14" i="13"/>
  <c r="E14" i="7"/>
  <c r="F12" i="13"/>
  <c r="F12" i="7"/>
  <c r="E15" i="13"/>
  <c r="E15" i="7"/>
  <c r="E11" i="13"/>
  <c r="E11" i="7"/>
  <c r="E16" i="13"/>
  <c r="E16" i="7"/>
  <c r="F4" i="13"/>
  <c r="F4" i="7"/>
  <c r="F7" i="13"/>
  <c r="F7" i="7"/>
  <c r="E17" i="13"/>
  <c r="E17" i="7"/>
  <c r="F11" i="13"/>
  <c r="F11" i="7"/>
  <c r="E7" i="13"/>
  <c r="E7" i="7"/>
  <c r="E19" i="13"/>
  <c r="E19" i="7"/>
  <c r="F19" i="13"/>
  <c r="F19" i="7"/>
  <c r="E18" i="13"/>
  <c r="E18" i="7"/>
  <c r="F10" i="13"/>
  <c r="F10" i="7"/>
  <c r="F14" i="13"/>
  <c r="F14" i="7"/>
  <c r="E10" i="13"/>
  <c r="E10" i="7"/>
  <c r="F15" i="13"/>
  <c r="F15" i="7"/>
  <c r="F18" i="13"/>
  <c r="F18" i="7"/>
  <c r="E12" i="13"/>
  <c r="E12" i="7"/>
  <c r="E13" i="13"/>
  <c r="E13" i="7"/>
  <c r="E5" i="13"/>
  <c r="E5" i="7"/>
  <c r="E4" i="13"/>
  <c r="E4" i="7"/>
  <c r="F70" i="15"/>
  <c r="J49" i="15"/>
  <c r="F50" i="15"/>
  <c r="J29" i="15"/>
  <c r="F30" i="15"/>
  <c r="J9" i="15"/>
  <c r="F10" i="15"/>
  <c r="J69" i="15"/>
  <c r="N29" i="15"/>
  <c r="J70" i="15"/>
  <c r="J30" i="15"/>
  <c r="J50" i="15"/>
  <c r="B49" i="15"/>
  <c r="N70" i="15"/>
  <c r="J10" i="15"/>
  <c r="N30" i="15"/>
  <c r="B69" i="15"/>
  <c r="B29" i="15"/>
  <c r="N69" i="15"/>
  <c r="N49" i="15"/>
  <c r="N9" i="15"/>
  <c r="N50" i="15"/>
  <c r="N10" i="15"/>
  <c r="B9" i="15"/>
  <c r="J46" i="15"/>
  <c r="J44" i="15"/>
  <c r="J6" i="15"/>
  <c r="F57" i="15"/>
  <c r="B44" i="15"/>
  <c r="B57" i="15"/>
  <c r="N77" i="15"/>
  <c r="J37" i="15"/>
  <c r="F66" i="15"/>
  <c r="F26" i="15"/>
  <c r="F77" i="15"/>
  <c r="F37" i="15"/>
  <c r="B66" i="15"/>
  <c r="B26" i="15"/>
  <c r="B77" i="15"/>
  <c r="B37" i="15"/>
  <c r="J4" i="15"/>
  <c r="B17" i="15"/>
  <c r="N37" i="15"/>
  <c r="J77" i="15"/>
  <c r="N44" i="15"/>
  <c r="N4" i="15"/>
  <c r="N46" i="15"/>
  <c r="N6" i="15"/>
  <c r="N57" i="15"/>
  <c r="N17" i="15"/>
  <c r="F65" i="15"/>
  <c r="F25" i="15"/>
  <c r="J65" i="15"/>
  <c r="J25" i="15"/>
  <c r="N65" i="15"/>
  <c r="N25" i="15"/>
  <c r="B45" i="15"/>
  <c r="F5" i="15"/>
  <c r="J57" i="15"/>
  <c r="J17" i="15"/>
  <c r="E11" i="6"/>
  <c r="B4" i="15"/>
  <c r="E20" i="6"/>
  <c r="F17" i="15"/>
  <c r="S20" i="7"/>
  <c r="E14" i="6"/>
  <c r="F15" i="10"/>
  <c r="E19" i="6"/>
  <c r="E17" i="6"/>
  <c r="E9" i="6"/>
  <c r="F11" i="10"/>
  <c r="F5" i="10"/>
  <c r="F9" i="10"/>
  <c r="F14" i="10"/>
  <c r="E8" i="6"/>
  <c r="F17" i="10"/>
  <c r="E13" i="6"/>
  <c r="I16" i="6"/>
  <c r="I8" i="6"/>
  <c r="I6" i="6"/>
  <c r="F13" i="11"/>
  <c r="I13" i="6"/>
  <c r="I15" i="6"/>
  <c r="I12" i="6"/>
  <c r="C11" i="11"/>
  <c r="F11" i="11" s="1"/>
  <c r="I19" i="6"/>
  <c r="C18" i="11"/>
  <c r="F18" i="11" s="1"/>
  <c r="I18" i="6"/>
  <c r="C17" i="11"/>
  <c r="F17" i="11" s="1"/>
  <c r="I10" i="6"/>
  <c r="C9" i="11"/>
  <c r="F9" i="11" s="1"/>
  <c r="I17" i="6"/>
  <c r="C16" i="11"/>
  <c r="F16" i="11" s="1"/>
  <c r="I20" i="6"/>
  <c r="C19" i="11"/>
  <c r="F19" i="11" s="1"/>
  <c r="I11" i="6"/>
  <c r="C10" i="11"/>
  <c r="F10" i="11" s="1"/>
  <c r="I9" i="6"/>
  <c r="C8" i="11"/>
  <c r="F8" i="11" s="1"/>
  <c r="C15" i="11"/>
  <c r="F15" i="11" s="1"/>
  <c r="C14" i="11"/>
  <c r="F14" i="11" s="1"/>
  <c r="C5" i="11"/>
  <c r="F5" i="11" s="1"/>
  <c r="C12" i="11"/>
  <c r="F12" i="11" s="1"/>
  <c r="C7" i="11"/>
  <c r="F7" i="11" s="1"/>
  <c r="F4" i="11"/>
  <c r="I7" i="6"/>
  <c r="C6" i="11"/>
  <c r="G2" i="6"/>
  <c r="D1" i="11"/>
  <c r="E1" i="11"/>
  <c r="F6" i="10"/>
  <c r="E5" i="6"/>
  <c r="I14" i="6"/>
  <c r="F2" i="6"/>
  <c r="H2" i="6"/>
  <c r="B2" i="6"/>
  <c r="I5" i="6"/>
  <c r="F20" i="14" l="1"/>
  <c r="F20" i="7"/>
  <c r="F20" i="13"/>
  <c r="E20" i="13"/>
  <c r="E20" i="7"/>
  <c r="B12" i="15"/>
  <c r="P27" i="7"/>
  <c r="P49" i="7" s="1"/>
  <c r="P31" i="7"/>
  <c r="P53" i="7" s="1"/>
  <c r="P35" i="7"/>
  <c r="P57" i="7" s="1"/>
  <c r="P39" i="7"/>
  <c r="P61" i="7" s="1"/>
  <c r="P25" i="7"/>
  <c r="P47" i="7" s="1"/>
  <c r="P37" i="7"/>
  <c r="P59" i="7" s="1"/>
  <c r="P36" i="7"/>
  <c r="P58" i="7" s="1"/>
  <c r="P33" i="7"/>
  <c r="P55" i="7" s="1"/>
  <c r="P34" i="7"/>
  <c r="P56" i="7" s="1"/>
  <c r="P38" i="7"/>
  <c r="P60" i="7" s="1"/>
  <c r="P29" i="7"/>
  <c r="P51" i="7" s="1"/>
  <c r="P32" i="7"/>
  <c r="P54" i="7" s="1"/>
  <c r="P30" i="7"/>
  <c r="P52" i="7" s="1"/>
  <c r="P28" i="7"/>
  <c r="P50" i="7" s="1"/>
  <c r="P26" i="7"/>
  <c r="P48" i="7" s="1"/>
  <c r="P40" i="7"/>
  <c r="P62" i="7" s="1"/>
  <c r="O27" i="7"/>
  <c r="O49" i="7" s="1"/>
  <c r="O31" i="7"/>
  <c r="O53" i="7" s="1"/>
  <c r="O35" i="7"/>
  <c r="O57" i="7" s="1"/>
  <c r="O39" i="7"/>
  <c r="O61" i="7" s="1"/>
  <c r="O40" i="7"/>
  <c r="O62" i="7" s="1"/>
  <c r="O29" i="7"/>
  <c r="O51" i="7" s="1"/>
  <c r="O38" i="7"/>
  <c r="O60" i="7" s="1"/>
  <c r="O26" i="7"/>
  <c r="O48" i="7" s="1"/>
  <c r="O36" i="7"/>
  <c r="O58" i="7" s="1"/>
  <c r="O32" i="7"/>
  <c r="O54" i="7" s="1"/>
  <c r="O25" i="7"/>
  <c r="O47" i="7" s="1"/>
  <c r="O34" i="7"/>
  <c r="O56" i="7" s="1"/>
  <c r="O37" i="7"/>
  <c r="O59" i="7" s="1"/>
  <c r="O30" i="7"/>
  <c r="O52" i="7" s="1"/>
  <c r="O33" i="7"/>
  <c r="O55" i="7" s="1"/>
  <c r="O28" i="7"/>
  <c r="O50" i="7" s="1"/>
  <c r="S32" i="7"/>
  <c r="S54" i="7" s="1"/>
  <c r="S35" i="7"/>
  <c r="S57" i="7" s="1"/>
  <c r="S27" i="7"/>
  <c r="S49" i="7" s="1"/>
  <c r="S40" i="7"/>
  <c r="S62" i="7" s="1"/>
  <c r="S36" i="7"/>
  <c r="S58" i="7" s="1"/>
  <c r="S38" i="7"/>
  <c r="S60" i="7" s="1"/>
  <c r="S28" i="7"/>
  <c r="S50" i="7" s="1"/>
  <c r="S30" i="7"/>
  <c r="S52" i="7" s="1"/>
  <c r="S25" i="7"/>
  <c r="S47" i="7" s="1"/>
  <c r="S39" i="7"/>
  <c r="S61" i="7" s="1"/>
  <c r="S34" i="7"/>
  <c r="S56" i="7" s="1"/>
  <c r="S33" i="7"/>
  <c r="S55" i="7" s="1"/>
  <c r="S31" i="7"/>
  <c r="S53" i="7" s="1"/>
  <c r="S26" i="7"/>
  <c r="S48" i="7" s="1"/>
  <c r="S37" i="7"/>
  <c r="S59" i="7" s="1"/>
  <c r="S29" i="7"/>
  <c r="S51" i="7" s="1"/>
  <c r="B34" i="15"/>
  <c r="E16" i="14"/>
  <c r="F52" i="15"/>
  <c r="C13" i="14"/>
  <c r="F33" i="15"/>
  <c r="D9" i="14"/>
  <c r="J52" i="15"/>
  <c r="C14" i="14"/>
  <c r="N74" i="15"/>
  <c r="E19" i="14"/>
  <c r="B14" i="15"/>
  <c r="B11" i="15"/>
  <c r="F73" i="15"/>
  <c r="D17" i="14"/>
  <c r="C18" i="14"/>
  <c r="J72" i="15"/>
  <c r="F11" i="15"/>
  <c r="B5" i="14"/>
  <c r="J11" i="15"/>
  <c r="B6" i="14"/>
  <c r="B20" i="14" s="1"/>
  <c r="J34" i="15"/>
  <c r="E10" i="14"/>
  <c r="D4" i="14"/>
  <c r="D20" i="14" s="1"/>
  <c r="B16" i="15"/>
  <c r="B14" i="14"/>
  <c r="J51" i="15"/>
  <c r="D12" i="14"/>
  <c r="B53" i="15"/>
  <c r="F51" i="15"/>
  <c r="B13" i="14"/>
  <c r="J74" i="15"/>
  <c r="E18" i="14"/>
  <c r="D8" i="14"/>
  <c r="B33" i="15"/>
  <c r="F34" i="15"/>
  <c r="E9" i="14"/>
  <c r="E20" i="14" s="1"/>
  <c r="D19" i="14"/>
  <c r="N73" i="15"/>
  <c r="D16" i="14"/>
  <c r="B73" i="15"/>
  <c r="F74" i="15"/>
  <c r="E17" i="14"/>
  <c r="N11" i="15"/>
  <c r="B7" i="14"/>
  <c r="F12" i="15"/>
  <c r="C5" i="14"/>
  <c r="C20" i="14" s="1"/>
  <c r="F13" i="15"/>
  <c r="J12" i="15"/>
  <c r="C6" i="14"/>
  <c r="B15" i="14"/>
  <c r="N51" i="15"/>
  <c r="B15" i="15"/>
  <c r="J32" i="15"/>
  <c r="C10" i="14"/>
  <c r="N34" i="15"/>
  <c r="E11" i="14"/>
  <c r="G25" i="7"/>
  <c r="B50" i="15"/>
  <c r="F9" i="15"/>
  <c r="F29" i="15"/>
  <c r="F49" i="15"/>
  <c r="B70" i="15"/>
  <c r="F69" i="15"/>
  <c r="B30" i="15"/>
  <c r="F10" i="10"/>
  <c r="F13" i="10"/>
  <c r="F16" i="10"/>
  <c r="E15" i="6"/>
  <c r="E16" i="6"/>
  <c r="F7" i="10"/>
  <c r="D1" i="10"/>
  <c r="F8" i="10"/>
  <c r="E10" i="6"/>
  <c r="E18" i="6"/>
  <c r="C2" i="6"/>
  <c r="J8" i="6"/>
  <c r="E12" i="6"/>
  <c r="N64" i="15"/>
  <c r="N66" i="15"/>
  <c r="J26" i="15"/>
  <c r="F12" i="10"/>
  <c r="U13" i="7"/>
  <c r="D13" i="17" s="1"/>
  <c r="B64" i="15"/>
  <c r="F4" i="15"/>
  <c r="F6" i="15"/>
  <c r="F24" i="15"/>
  <c r="J24" i="15"/>
  <c r="N24" i="15"/>
  <c r="N26" i="15"/>
  <c r="B7" i="15"/>
  <c r="F44" i="15"/>
  <c r="B25" i="7"/>
  <c r="F8" i="15"/>
  <c r="B46" i="15"/>
  <c r="F64" i="15"/>
  <c r="B24" i="15"/>
  <c r="J66" i="15"/>
  <c r="F46" i="15"/>
  <c r="J64" i="15"/>
  <c r="F47" i="15"/>
  <c r="F18" i="10"/>
  <c r="C1" i="10"/>
  <c r="F19" i="10"/>
  <c r="J14" i="6"/>
  <c r="D2" i="6"/>
  <c r="E6" i="6"/>
  <c r="J20" i="6"/>
  <c r="J19" i="6"/>
  <c r="J17" i="6"/>
  <c r="E1" i="10"/>
  <c r="J9" i="6"/>
  <c r="E7" i="6"/>
  <c r="C1" i="11"/>
  <c r="F6" i="11"/>
  <c r="F1" i="11" s="1"/>
  <c r="F4" i="10"/>
  <c r="J13" i="6"/>
  <c r="J11" i="6"/>
  <c r="J5" i="6"/>
  <c r="I2" i="6"/>
  <c r="C23" i="6" s="1"/>
  <c r="G33" i="7" l="1"/>
  <c r="G55" i="7" s="1"/>
  <c r="G39" i="7"/>
  <c r="G61" i="7" s="1"/>
  <c r="G31" i="7"/>
  <c r="G53" i="7" s="1"/>
  <c r="G30" i="7"/>
  <c r="G52" i="7" s="1"/>
  <c r="G37" i="7"/>
  <c r="G59" i="7" s="1"/>
  <c r="G28" i="7"/>
  <c r="G50" i="7" s="1"/>
  <c r="G34" i="7"/>
  <c r="G56" i="7" s="1"/>
  <c r="G32" i="7"/>
  <c r="G54" i="7" s="1"/>
  <c r="G26" i="7"/>
  <c r="G48" i="7" s="1"/>
  <c r="G29" i="7"/>
  <c r="G51" i="7" s="1"/>
  <c r="G38" i="7"/>
  <c r="G60" i="7" s="1"/>
  <c r="G36" i="7"/>
  <c r="G58" i="7" s="1"/>
  <c r="G35" i="7"/>
  <c r="G57" i="7" s="1"/>
  <c r="G27" i="7"/>
  <c r="G49" i="7" s="1"/>
  <c r="G47" i="7"/>
  <c r="G40" i="7"/>
  <c r="G62" i="7" s="1"/>
  <c r="N26" i="7"/>
  <c r="N48" i="7" s="1"/>
  <c r="N30" i="7"/>
  <c r="N52" i="7" s="1"/>
  <c r="N34" i="7"/>
  <c r="N56" i="7" s="1"/>
  <c r="N38" i="7"/>
  <c r="N60" i="7" s="1"/>
  <c r="N31" i="7"/>
  <c r="N53" i="7" s="1"/>
  <c r="N40" i="7"/>
  <c r="N62" i="7" s="1"/>
  <c r="N29" i="7"/>
  <c r="N51" i="7" s="1"/>
  <c r="N39" i="7"/>
  <c r="N61" i="7" s="1"/>
  <c r="N27" i="7"/>
  <c r="N49" i="7" s="1"/>
  <c r="N28" i="7"/>
  <c r="N50" i="7" s="1"/>
  <c r="N36" i="7"/>
  <c r="N58" i="7" s="1"/>
  <c r="N33" i="7"/>
  <c r="N55" i="7" s="1"/>
  <c r="N37" i="7"/>
  <c r="N59" i="7" s="1"/>
  <c r="N25" i="7"/>
  <c r="N47" i="7" s="1"/>
  <c r="N35" i="7"/>
  <c r="N57" i="7" s="1"/>
  <c r="N32" i="7"/>
  <c r="N54" i="7" s="1"/>
  <c r="D38" i="7"/>
  <c r="D60" i="7" s="1"/>
  <c r="D28" i="7"/>
  <c r="D50" i="7" s="1"/>
  <c r="D30" i="7"/>
  <c r="D52" i="7" s="1"/>
  <c r="D36" i="7"/>
  <c r="D58" i="7" s="1"/>
  <c r="D27" i="7"/>
  <c r="D49" i="7" s="1"/>
  <c r="D35" i="7"/>
  <c r="D57" i="7" s="1"/>
  <c r="D32" i="7"/>
  <c r="D54" i="7" s="1"/>
  <c r="D25" i="7"/>
  <c r="D47" i="7" s="1"/>
  <c r="D26" i="7"/>
  <c r="D48" i="7" s="1"/>
  <c r="D29" i="7"/>
  <c r="D51" i="7" s="1"/>
  <c r="D37" i="7"/>
  <c r="D59" i="7" s="1"/>
  <c r="D33" i="7"/>
  <c r="D55" i="7" s="1"/>
  <c r="D34" i="7"/>
  <c r="D56" i="7" s="1"/>
  <c r="D31" i="7"/>
  <c r="D53" i="7" s="1"/>
  <c r="D39" i="7"/>
  <c r="D61" i="7" s="1"/>
  <c r="D40" i="7"/>
  <c r="D62" i="7" s="1"/>
  <c r="C38" i="7"/>
  <c r="C60" i="7" s="1"/>
  <c r="C32" i="7"/>
  <c r="C54" i="7" s="1"/>
  <c r="C26" i="7"/>
  <c r="C48" i="7" s="1"/>
  <c r="C27" i="7"/>
  <c r="C49" i="7" s="1"/>
  <c r="C35" i="7"/>
  <c r="C57" i="7" s="1"/>
  <c r="C33" i="7"/>
  <c r="C55" i="7" s="1"/>
  <c r="C40" i="7"/>
  <c r="C62" i="7" s="1"/>
  <c r="C34" i="7"/>
  <c r="C56" i="7" s="1"/>
  <c r="C28" i="7"/>
  <c r="C50" i="7" s="1"/>
  <c r="C30" i="7"/>
  <c r="C52" i="7" s="1"/>
  <c r="C39" i="7"/>
  <c r="C61" i="7" s="1"/>
  <c r="C31" i="7"/>
  <c r="C53" i="7" s="1"/>
  <c r="C25" i="7"/>
  <c r="C47" i="7" s="1"/>
  <c r="C36" i="7"/>
  <c r="C58" i="7" s="1"/>
  <c r="C29" i="7"/>
  <c r="C51" i="7" s="1"/>
  <c r="C37" i="7"/>
  <c r="C59" i="7" s="1"/>
  <c r="H34" i="7"/>
  <c r="H56" i="7" s="1"/>
  <c r="H36" i="7"/>
  <c r="H58" i="7" s="1"/>
  <c r="H26" i="7"/>
  <c r="H48" i="7" s="1"/>
  <c r="H33" i="7"/>
  <c r="H55" i="7" s="1"/>
  <c r="H28" i="7"/>
  <c r="H50" i="7" s="1"/>
  <c r="H29" i="7"/>
  <c r="H51" i="7" s="1"/>
  <c r="H38" i="7"/>
  <c r="H60" i="7" s="1"/>
  <c r="H27" i="7"/>
  <c r="H49" i="7" s="1"/>
  <c r="H30" i="7"/>
  <c r="H52" i="7" s="1"/>
  <c r="H32" i="7"/>
  <c r="H54" i="7" s="1"/>
  <c r="H39" i="7"/>
  <c r="H61" i="7" s="1"/>
  <c r="H25" i="7"/>
  <c r="H47" i="7" s="1"/>
  <c r="H40" i="7"/>
  <c r="H62" i="7" s="1"/>
  <c r="H37" i="7"/>
  <c r="H59" i="7" s="1"/>
  <c r="H31" i="7"/>
  <c r="H53" i="7" s="1"/>
  <c r="H35" i="7"/>
  <c r="H57" i="7" s="1"/>
  <c r="L37" i="7"/>
  <c r="L59" i="7" s="1"/>
  <c r="L29" i="7"/>
  <c r="L51" i="7" s="1"/>
  <c r="L33" i="7"/>
  <c r="L55" i="7" s="1"/>
  <c r="L40" i="7"/>
  <c r="L62" i="7" s="1"/>
  <c r="L38" i="7"/>
  <c r="L60" i="7" s="1"/>
  <c r="L36" i="7"/>
  <c r="L58" i="7" s="1"/>
  <c r="L25" i="7"/>
  <c r="L47" i="7" s="1"/>
  <c r="L32" i="7"/>
  <c r="L54" i="7" s="1"/>
  <c r="L26" i="7"/>
  <c r="L48" i="7" s="1"/>
  <c r="L28" i="7"/>
  <c r="L50" i="7" s="1"/>
  <c r="L39" i="7"/>
  <c r="L61" i="7" s="1"/>
  <c r="L31" i="7"/>
  <c r="L53" i="7" s="1"/>
  <c r="L35" i="7"/>
  <c r="L57" i="7" s="1"/>
  <c r="L30" i="7"/>
  <c r="L52" i="7" s="1"/>
  <c r="L34" i="7"/>
  <c r="L56" i="7" s="1"/>
  <c r="L27" i="7"/>
  <c r="L49" i="7" s="1"/>
  <c r="K40" i="7"/>
  <c r="K62" i="7" s="1"/>
  <c r="K29" i="7"/>
  <c r="K51" i="7" s="1"/>
  <c r="K37" i="7"/>
  <c r="K59" i="7" s="1"/>
  <c r="K28" i="7"/>
  <c r="K50" i="7" s="1"/>
  <c r="K38" i="7"/>
  <c r="K60" i="7" s="1"/>
  <c r="K36" i="7"/>
  <c r="K58" i="7" s="1"/>
  <c r="K33" i="7"/>
  <c r="K55" i="7" s="1"/>
  <c r="K30" i="7"/>
  <c r="K52" i="7" s="1"/>
  <c r="K26" i="7"/>
  <c r="K48" i="7" s="1"/>
  <c r="K32" i="7"/>
  <c r="K54" i="7" s="1"/>
  <c r="K39" i="7"/>
  <c r="K61" i="7" s="1"/>
  <c r="K27" i="7"/>
  <c r="K49" i="7" s="1"/>
  <c r="K34" i="7"/>
  <c r="K56" i="7" s="1"/>
  <c r="K35" i="7"/>
  <c r="K57" i="7" s="1"/>
  <c r="K25" i="7"/>
  <c r="K47" i="7" s="1"/>
  <c r="K31" i="7"/>
  <c r="K53" i="7" s="1"/>
  <c r="M27" i="7"/>
  <c r="M49" i="7" s="1"/>
  <c r="M31" i="7"/>
  <c r="M53" i="7" s="1"/>
  <c r="M39" i="7"/>
  <c r="M61" i="7" s="1"/>
  <c r="M35" i="7"/>
  <c r="M57" i="7" s="1"/>
  <c r="M32" i="7"/>
  <c r="M54" i="7" s="1"/>
  <c r="M29" i="7"/>
  <c r="M51" i="7" s="1"/>
  <c r="M30" i="7"/>
  <c r="M52" i="7" s="1"/>
  <c r="M34" i="7"/>
  <c r="M56" i="7" s="1"/>
  <c r="M28" i="7"/>
  <c r="M50" i="7" s="1"/>
  <c r="M40" i="7"/>
  <c r="M62" i="7" s="1"/>
  <c r="M26" i="7"/>
  <c r="M48" i="7" s="1"/>
  <c r="M38" i="7"/>
  <c r="M60" i="7" s="1"/>
  <c r="M36" i="7"/>
  <c r="M58" i="7" s="1"/>
  <c r="M37" i="7"/>
  <c r="M59" i="7" s="1"/>
  <c r="M25" i="7"/>
  <c r="M47" i="7" s="1"/>
  <c r="M33" i="7"/>
  <c r="M55" i="7" s="1"/>
  <c r="B26" i="7"/>
  <c r="B48" i="7" s="1"/>
  <c r="B34" i="7"/>
  <c r="B56" i="7" s="1"/>
  <c r="B27" i="7"/>
  <c r="B49" i="7" s="1"/>
  <c r="B33" i="7"/>
  <c r="B55" i="7" s="1"/>
  <c r="B30" i="7"/>
  <c r="B52" i="7" s="1"/>
  <c r="B47" i="7"/>
  <c r="B32" i="7"/>
  <c r="B54" i="7" s="1"/>
  <c r="B40" i="7"/>
  <c r="B62" i="7" s="1"/>
  <c r="B38" i="7"/>
  <c r="B60" i="7" s="1"/>
  <c r="B31" i="7"/>
  <c r="B53" i="7" s="1"/>
  <c r="B39" i="7"/>
  <c r="B61" i="7" s="1"/>
  <c r="B29" i="7"/>
  <c r="B51" i="7" s="1"/>
  <c r="B37" i="7"/>
  <c r="B59" i="7" s="1"/>
  <c r="B28" i="7"/>
  <c r="B50" i="7" s="1"/>
  <c r="B36" i="7"/>
  <c r="B58" i="7" s="1"/>
  <c r="B35" i="7"/>
  <c r="B57" i="7" s="1"/>
  <c r="J15" i="6"/>
  <c r="J6" i="6"/>
  <c r="J16" i="6"/>
  <c r="J7" i="6"/>
  <c r="J10" i="6"/>
  <c r="J18" i="6"/>
  <c r="J12" i="6"/>
  <c r="B13" i="15"/>
  <c r="T18" i="7"/>
  <c r="T13" i="7"/>
  <c r="T6" i="7"/>
  <c r="T8" i="7"/>
  <c r="T10" i="7"/>
  <c r="T19" i="7"/>
  <c r="U4" i="7"/>
  <c r="D4" i="17" s="1"/>
  <c r="T14" i="7"/>
  <c r="T4" i="7"/>
  <c r="C4" i="17" s="1"/>
  <c r="T17" i="7"/>
  <c r="T15" i="7"/>
  <c r="T11" i="7"/>
  <c r="T9" i="7"/>
  <c r="T7" i="7"/>
  <c r="E2" i="6"/>
  <c r="B28" i="6" s="1"/>
  <c r="J68" i="15"/>
  <c r="F27" i="15"/>
  <c r="U9" i="7"/>
  <c r="D9" i="17" s="1"/>
  <c r="J8" i="15"/>
  <c r="N28" i="15"/>
  <c r="B67" i="15"/>
  <c r="U16" i="7"/>
  <c r="D16" i="17" s="1"/>
  <c r="B48" i="15"/>
  <c r="N27" i="15"/>
  <c r="U11" i="7"/>
  <c r="D11" i="17" s="1"/>
  <c r="F48" i="15"/>
  <c r="B68" i="15"/>
  <c r="F28" i="15"/>
  <c r="J28" i="15"/>
  <c r="N7" i="15"/>
  <c r="U7" i="7"/>
  <c r="D7" i="17" s="1"/>
  <c r="N67" i="15"/>
  <c r="U19" i="7"/>
  <c r="D19" i="17" s="1"/>
  <c r="B8" i="15"/>
  <c r="N8" i="15"/>
  <c r="F68" i="15"/>
  <c r="J48" i="15"/>
  <c r="J47" i="15"/>
  <c r="U14" i="7"/>
  <c r="D14" i="17" s="1"/>
  <c r="F59" i="15"/>
  <c r="N68" i="15"/>
  <c r="B27" i="15"/>
  <c r="U8" i="7"/>
  <c r="D8" i="17" s="1"/>
  <c r="F67" i="15"/>
  <c r="U17" i="7"/>
  <c r="D17" i="17" s="1"/>
  <c r="B28" i="15"/>
  <c r="B47" i="15"/>
  <c r="U12" i="7"/>
  <c r="D12" i="17" s="1"/>
  <c r="T12" i="7"/>
  <c r="C12" i="17" s="1"/>
  <c r="J27" i="15"/>
  <c r="U10" i="7"/>
  <c r="D10" i="17" s="1"/>
  <c r="J7" i="15"/>
  <c r="U6" i="7"/>
  <c r="D6" i="17" s="1"/>
  <c r="N48" i="15"/>
  <c r="J67" i="15"/>
  <c r="U18" i="7"/>
  <c r="D18" i="17" s="1"/>
  <c r="N47" i="15"/>
  <c r="U15" i="7"/>
  <c r="D15" i="17" s="1"/>
  <c r="T16" i="7"/>
  <c r="C16" i="17" s="1"/>
  <c r="F7" i="15"/>
  <c r="U5" i="7"/>
  <c r="D5" i="17" s="1"/>
  <c r="T5" i="7"/>
  <c r="C5" i="17" s="1"/>
  <c r="F1" i="10"/>
  <c r="C26" i="6"/>
  <c r="C25" i="6"/>
  <c r="C36" i="6"/>
  <c r="C35" i="6"/>
  <c r="C31" i="6"/>
  <c r="C28" i="6"/>
  <c r="C34" i="6"/>
  <c r="C38" i="6"/>
  <c r="C30" i="6"/>
  <c r="C37" i="6"/>
  <c r="C29" i="6"/>
  <c r="C32" i="6"/>
  <c r="C27" i="6"/>
  <c r="C33" i="6"/>
  <c r="C24" i="6"/>
  <c r="D20" i="17" l="1"/>
  <c r="N38" i="15"/>
  <c r="C11" i="17"/>
  <c r="N58" i="15"/>
  <c r="C15" i="17"/>
  <c r="F58" i="15"/>
  <c r="C13" i="17"/>
  <c r="N18" i="15"/>
  <c r="C7" i="17"/>
  <c r="N78" i="15"/>
  <c r="C19" i="17"/>
  <c r="B38" i="15"/>
  <c r="C8" i="17"/>
  <c r="J18" i="15"/>
  <c r="C6" i="17"/>
  <c r="F78" i="15"/>
  <c r="C17" i="17"/>
  <c r="J78" i="15"/>
  <c r="C18" i="17"/>
  <c r="J58" i="15"/>
  <c r="C14" i="17"/>
  <c r="F38" i="15"/>
  <c r="C9" i="17"/>
  <c r="J38" i="15"/>
  <c r="C10" i="17"/>
  <c r="B18" i="15"/>
  <c r="F30" i="7"/>
  <c r="F52" i="7" s="1"/>
  <c r="F38" i="7"/>
  <c r="F60" i="7" s="1"/>
  <c r="F26" i="7"/>
  <c r="F48" i="7" s="1"/>
  <c r="F40" i="7"/>
  <c r="F62" i="7" s="1"/>
  <c r="F29" i="7"/>
  <c r="F51" i="7" s="1"/>
  <c r="F37" i="7"/>
  <c r="F59" i="7" s="1"/>
  <c r="F31" i="7"/>
  <c r="F53" i="7" s="1"/>
  <c r="F28" i="7"/>
  <c r="F50" i="7" s="1"/>
  <c r="F36" i="7"/>
  <c r="F58" i="7" s="1"/>
  <c r="F34" i="7"/>
  <c r="F56" i="7" s="1"/>
  <c r="F32" i="7"/>
  <c r="F54" i="7" s="1"/>
  <c r="F39" i="7"/>
  <c r="F61" i="7" s="1"/>
  <c r="F27" i="7"/>
  <c r="F49" i="7" s="1"/>
  <c r="F35" i="7"/>
  <c r="F57" i="7" s="1"/>
  <c r="F33" i="7"/>
  <c r="F55" i="7" s="1"/>
  <c r="F25" i="7"/>
  <c r="F47" i="7" s="1"/>
  <c r="E29" i="7"/>
  <c r="E51" i="7" s="1"/>
  <c r="E37" i="7"/>
  <c r="E59" i="7" s="1"/>
  <c r="E33" i="7"/>
  <c r="E55" i="7" s="1"/>
  <c r="E38" i="7"/>
  <c r="E60" i="7" s="1"/>
  <c r="E28" i="7"/>
  <c r="E50" i="7" s="1"/>
  <c r="E36" i="7"/>
  <c r="E58" i="7" s="1"/>
  <c r="E27" i="7"/>
  <c r="E49" i="7" s="1"/>
  <c r="E35" i="7"/>
  <c r="E57" i="7" s="1"/>
  <c r="E26" i="7"/>
  <c r="E48" i="7" s="1"/>
  <c r="E34" i="7"/>
  <c r="E56" i="7" s="1"/>
  <c r="E30" i="7"/>
  <c r="E52" i="7" s="1"/>
  <c r="E32" i="7"/>
  <c r="E54" i="7" s="1"/>
  <c r="E40" i="7"/>
  <c r="E62" i="7" s="1"/>
  <c r="E31" i="7"/>
  <c r="E53" i="7" s="1"/>
  <c r="E39" i="7"/>
  <c r="E61" i="7" s="1"/>
  <c r="E25" i="7"/>
  <c r="E47" i="7" s="1"/>
  <c r="B19" i="15"/>
  <c r="J2" i="6"/>
  <c r="D23" i="6" s="1"/>
  <c r="B30" i="6"/>
  <c r="B37" i="6"/>
  <c r="B32" i="6"/>
  <c r="B34" i="6"/>
  <c r="B27" i="6"/>
  <c r="B31" i="6"/>
  <c r="B38" i="6"/>
  <c r="B33" i="6"/>
  <c r="B24" i="6"/>
  <c r="B36" i="6"/>
  <c r="B25" i="6"/>
  <c r="B23" i="6"/>
  <c r="B35" i="6"/>
  <c r="B29" i="6"/>
  <c r="B26" i="6"/>
  <c r="J19" i="15"/>
  <c r="N39" i="15"/>
  <c r="B79" i="15"/>
  <c r="F39" i="15"/>
  <c r="N59" i="15"/>
  <c r="B59" i="15"/>
  <c r="J59" i="15"/>
  <c r="J79" i="15"/>
  <c r="N79" i="15"/>
  <c r="J39" i="15"/>
  <c r="F79" i="15"/>
  <c r="B39" i="15"/>
  <c r="N19" i="15"/>
  <c r="B78" i="15"/>
  <c r="B58" i="15"/>
  <c r="F19" i="15"/>
  <c r="U20" i="7"/>
  <c r="U25" i="7" s="1"/>
  <c r="U47" i="7" s="1"/>
  <c r="F18" i="15"/>
  <c r="T20" i="7"/>
  <c r="C20" i="17" l="1"/>
  <c r="D24" i="6"/>
  <c r="D27" i="6"/>
  <c r="D30" i="6"/>
  <c r="U28" i="7"/>
  <c r="U50" i="7" s="1"/>
  <c r="U36" i="7"/>
  <c r="U58" i="7" s="1"/>
  <c r="U40" i="7"/>
  <c r="U62" i="7" s="1"/>
  <c r="U31" i="7"/>
  <c r="U53" i="7" s="1"/>
  <c r="U39" i="7"/>
  <c r="U61" i="7" s="1"/>
  <c r="U32" i="7"/>
  <c r="U54" i="7" s="1"/>
  <c r="U26" i="7"/>
  <c r="U48" i="7" s="1"/>
  <c r="U34" i="7"/>
  <c r="U56" i="7" s="1"/>
  <c r="U29" i="7"/>
  <c r="U51" i="7" s="1"/>
  <c r="U37" i="7"/>
  <c r="U59" i="7" s="1"/>
  <c r="U33" i="7"/>
  <c r="U55" i="7" s="1"/>
  <c r="U27" i="7"/>
  <c r="U49" i="7" s="1"/>
  <c r="U35" i="7"/>
  <c r="U57" i="7" s="1"/>
  <c r="U30" i="7"/>
  <c r="U52" i="7" s="1"/>
  <c r="U38" i="7"/>
  <c r="U60" i="7" s="1"/>
  <c r="D33" i="6"/>
  <c r="T31" i="7"/>
  <c r="T53" i="7" s="1"/>
  <c r="T39" i="7"/>
  <c r="T61" i="7" s="1"/>
  <c r="T27" i="7"/>
  <c r="T49" i="7" s="1"/>
  <c r="T28" i="7"/>
  <c r="T50" i="7" s="1"/>
  <c r="T26" i="7"/>
  <c r="T48" i="7" s="1"/>
  <c r="T34" i="7"/>
  <c r="T56" i="7" s="1"/>
  <c r="T36" i="7"/>
  <c r="T58" i="7" s="1"/>
  <c r="T29" i="7"/>
  <c r="T51" i="7" s="1"/>
  <c r="T37" i="7"/>
  <c r="T59" i="7" s="1"/>
  <c r="T35" i="7"/>
  <c r="T57" i="7" s="1"/>
  <c r="T32" i="7"/>
  <c r="T54" i="7" s="1"/>
  <c r="T40" i="7"/>
  <c r="T62" i="7" s="1"/>
  <c r="T30" i="7"/>
  <c r="T52" i="7" s="1"/>
  <c r="T38" i="7"/>
  <c r="T60" i="7" s="1"/>
  <c r="T33" i="7"/>
  <c r="T55" i="7" s="1"/>
  <c r="D35" i="6"/>
  <c r="D34" i="6"/>
  <c r="D37" i="6"/>
  <c r="D28" i="6"/>
  <c r="T25" i="7"/>
  <c r="T47" i="7" s="1"/>
  <c r="D36" i="6"/>
  <c r="D31" i="6"/>
  <c r="D25" i="6"/>
  <c r="D32" i="6"/>
  <c r="D29" i="6"/>
  <c r="D38" i="6"/>
  <c r="D26" i="6"/>
</calcChain>
</file>

<file path=xl/sharedStrings.xml><?xml version="1.0" encoding="utf-8"?>
<sst xmlns="http://schemas.openxmlformats.org/spreadsheetml/2006/main" count="1253" uniqueCount="168">
  <si>
    <t>Passe</t>
  </si>
  <si>
    <t>Peso das ações</t>
  </si>
  <si>
    <t>Atleta</t>
  </si>
  <si>
    <t>Incisivo certo</t>
  </si>
  <si>
    <t>Incisivo errado</t>
  </si>
  <si>
    <t>Gol</t>
  </si>
  <si>
    <t>Abordagem</t>
  </si>
  <si>
    <t>Finalização</t>
  </si>
  <si>
    <t>Leitura</t>
  </si>
  <si>
    <t>Interceptação</t>
  </si>
  <si>
    <t>Antecipação</t>
  </si>
  <si>
    <t>Contra-ataque desperdiçado</t>
  </si>
  <si>
    <t>Finalização errada</t>
  </si>
  <si>
    <t>TO</t>
  </si>
  <si>
    <t>TD</t>
  </si>
  <si>
    <t>ATAQUE</t>
  </si>
  <si>
    <t>GERAL</t>
  </si>
  <si>
    <t>drible</t>
  </si>
  <si>
    <t>Abordag</t>
  </si>
  <si>
    <t>difGER</t>
  </si>
  <si>
    <t>difOF</t>
  </si>
  <si>
    <t>difDEF</t>
  </si>
  <si>
    <t>geral</t>
  </si>
  <si>
    <t>1º</t>
  </si>
  <si>
    <t>TARIQ</t>
  </si>
  <si>
    <t>MATEUS</t>
  </si>
  <si>
    <t>RAFINHA</t>
  </si>
  <si>
    <t>TETEU</t>
  </si>
  <si>
    <t>ROGÉRIO</t>
  </si>
  <si>
    <t>PEPO</t>
  </si>
  <si>
    <t>SENNA</t>
  </si>
  <si>
    <t>LORENZO</t>
  </si>
  <si>
    <t>TITO</t>
  </si>
  <si>
    <t>GARCIA</t>
  </si>
  <si>
    <t>PIETRO</t>
  </si>
  <si>
    <t>RUDEK</t>
  </si>
  <si>
    <t>ALYSSON</t>
  </si>
  <si>
    <t>LÉO ELIAS</t>
  </si>
  <si>
    <t>Passe p/ finalização ou assistência</t>
  </si>
  <si>
    <t>x1 ganhos</t>
  </si>
  <si>
    <t>x1 perdidos</t>
  </si>
  <si>
    <t>Finalização certa</t>
  </si>
  <si>
    <t>TÉCNICOS</t>
  </si>
  <si>
    <t>X1</t>
  </si>
  <si>
    <t>canhoto extra</t>
  </si>
  <si>
    <t>pivô extra</t>
  </si>
  <si>
    <t>Progressão</t>
  </si>
  <si>
    <t>Movimento incorreto</t>
  </si>
  <si>
    <t>Jogo fundo quadra continuidade</t>
  </si>
  <si>
    <t>Jogo fundo quadra sem continuidade</t>
  </si>
  <si>
    <t>Escape continuidade</t>
  </si>
  <si>
    <t>Escape sem continuidade</t>
  </si>
  <si>
    <t>Perda de posse</t>
  </si>
  <si>
    <t>SAÍDA DE PRESSÃO</t>
  </si>
  <si>
    <t>pp</t>
  </si>
  <si>
    <t>Boa fuga ou boa opção de passe</t>
  </si>
  <si>
    <t>Escolha adequada (com bola)</t>
  </si>
  <si>
    <t>Escolha inadequada (com bola)</t>
  </si>
  <si>
    <t>Movimento adequado</t>
  </si>
  <si>
    <t>Movimento inadequado</t>
  </si>
  <si>
    <t>Não entrou no segundo pau</t>
  </si>
  <si>
    <t>TRANSIÇÃO OFENSIVA</t>
  </si>
  <si>
    <t>COMPORTAMENTO</t>
  </si>
  <si>
    <t>COM BOLA</t>
  </si>
  <si>
    <t>SEM BOLA</t>
  </si>
  <si>
    <t>Mudança lenta</t>
  </si>
  <si>
    <t>ORGANIZAÇÃO OFENSIVA</t>
  </si>
  <si>
    <t>abordagem com posse</t>
  </si>
  <si>
    <t>abordagem sem posse</t>
  </si>
  <si>
    <t>abordagem errada  ou falta cometida</t>
  </si>
  <si>
    <t>finalização bloqueada</t>
  </si>
  <si>
    <t>finalização permitida</t>
  </si>
  <si>
    <t>abriu linha de passe</t>
  </si>
  <si>
    <t>cobertura correta</t>
  </si>
  <si>
    <t>cobertura incorreta</t>
  </si>
  <si>
    <t>não tirou pé bom</t>
  </si>
  <si>
    <t xml:space="preserve">indicativo usado </t>
  </si>
  <si>
    <t>indicativo não usado</t>
  </si>
  <si>
    <t>pressão boa</t>
  </si>
  <si>
    <t>pressão ruim</t>
  </si>
  <si>
    <t>indução correta</t>
  </si>
  <si>
    <t>indução incorreta</t>
  </si>
  <si>
    <t>ORGANIZAÇÃO DEFENSIVA</t>
  </si>
  <si>
    <t>DEFESA BAIXA</t>
  </si>
  <si>
    <t>VARIANDO</t>
  </si>
  <si>
    <t>PRESSÃO</t>
  </si>
  <si>
    <t>TRANSIÇÃO DEFENSIVA</t>
  </si>
  <si>
    <t>mudança lenta de comportamento</t>
  </si>
  <si>
    <t>sem retorno</t>
  </si>
  <si>
    <t>com retorno</t>
  </si>
  <si>
    <t>não bloqueou contra-ataque</t>
  </si>
  <si>
    <t>bloqueou contra-ataque</t>
  </si>
  <si>
    <t>indução ou pressão certa</t>
  </si>
  <si>
    <t>indução ou pressão errada</t>
  </si>
  <si>
    <t>BLOQUEIO</t>
  </si>
  <si>
    <t>TOMADA DECISÃO</t>
  </si>
  <si>
    <t>TRANSIÇÃO</t>
  </si>
  <si>
    <t>PADRÃO</t>
  </si>
  <si>
    <t>SDP</t>
  </si>
  <si>
    <t>BAIXA</t>
  </si>
  <si>
    <t>PRESSIONANTE</t>
  </si>
  <si>
    <t>PONTOS</t>
  </si>
  <si>
    <t>ÍNDICES</t>
  </si>
  <si>
    <t>FASE OFENSIVA</t>
  </si>
  <si>
    <t>FASE DEFENSIVA</t>
  </si>
  <si>
    <t>MB</t>
  </si>
  <si>
    <t>PRESS</t>
  </si>
  <si>
    <t>OF_GER</t>
  </si>
  <si>
    <t>DEF_GER</t>
  </si>
  <si>
    <t>16º</t>
  </si>
  <si>
    <t>pos</t>
  </si>
  <si>
    <t>pontos</t>
  </si>
  <si>
    <t>atleta</t>
  </si>
  <si>
    <t>ATAQUE POSICIONAL</t>
  </si>
  <si>
    <t>MARCAÇÃO BAIXA</t>
  </si>
  <si>
    <t>padrão</t>
  </si>
  <si>
    <t>sdp</t>
  </si>
  <si>
    <t>comp</t>
  </si>
  <si>
    <t>efic</t>
  </si>
  <si>
    <t>abord</t>
  </si>
  <si>
    <t>Bloqueios</t>
  </si>
  <si>
    <t>baix</t>
  </si>
  <si>
    <t>press</t>
  </si>
  <si>
    <t>eficiência</t>
  </si>
  <si>
    <t>blocks</t>
  </si>
  <si>
    <t>duelos</t>
  </si>
  <si>
    <t>40% pres</t>
  </si>
  <si>
    <t>30% varia</t>
  </si>
  <si>
    <t>30% abord</t>
  </si>
  <si>
    <t>70% comp</t>
  </si>
  <si>
    <t>30% tdd</t>
  </si>
  <si>
    <t>fase ofensiva</t>
  </si>
  <si>
    <t>Drible</t>
  </si>
  <si>
    <t>transição</t>
  </si>
  <si>
    <t>comport</t>
  </si>
  <si>
    <t>fase defensiva</t>
  </si>
  <si>
    <t>Blocks</t>
  </si>
  <si>
    <t>baixa</t>
  </si>
  <si>
    <t>pressing</t>
  </si>
  <si>
    <t>Técnicos</t>
  </si>
  <si>
    <t>Modelo</t>
  </si>
  <si>
    <t>padrão de jogo</t>
  </si>
  <si>
    <t>saída de pressão</t>
  </si>
  <si>
    <t>passe</t>
  </si>
  <si>
    <t>finalização</t>
  </si>
  <si>
    <t>abordagem</t>
  </si>
  <si>
    <t>marcação baixa</t>
  </si>
  <si>
    <t>comportamento transição defensiva</t>
  </si>
  <si>
    <t>eficiência transição defensiva</t>
  </si>
  <si>
    <t>comportamento transição ofensiva</t>
  </si>
  <si>
    <t>eficiência transição ofensiva</t>
  </si>
  <si>
    <t>duelos ganhos</t>
  </si>
  <si>
    <t>tática</t>
  </si>
  <si>
    <t>FIXOS</t>
  </si>
  <si>
    <t>ALAS CANHOTOS</t>
  </si>
  <si>
    <t>PIVÔS</t>
  </si>
  <si>
    <t>ALAS DESTROS</t>
  </si>
  <si>
    <t>AP</t>
  </si>
  <si>
    <t>média geral</t>
  </si>
  <si>
    <t>ÍNDICE</t>
  </si>
  <si>
    <t>POS</t>
  </si>
  <si>
    <t>BAISCH</t>
  </si>
  <si>
    <t>FOGO</t>
  </si>
  <si>
    <t>LÉO RUDEK</t>
  </si>
  <si>
    <t>LUCAS SENNA</t>
  </si>
  <si>
    <t/>
  </si>
  <si>
    <t>GABRIEL</t>
  </si>
  <si>
    <t>15º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</si>
</sst>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Montserrat"/>
      <family val="3"/>
    </font>
    <font>
      <b/>
      <sz val="12"/>
      <color rgb="FF002060"/>
      <name val="Montserrat"/>
      <family val="3"/>
    </font>
    <font>
      <sz val="8"/>
      <name val="Calibri"/>
      <family val="2"/>
      <scheme val="minor"/>
    </font>
    <font>
      <sz val="11"/>
      <color theme="1"/>
      <name val="Biome"/>
      <family val="2"/>
    </font>
    <font>
      <sz val="12"/>
      <color rgb="FF000000"/>
      <name val="Avenir Next LT Pro Light"/>
      <family val="2"/>
    </font>
    <font>
      <b/>
      <sz val="12"/>
      <color rgb="FFFFFFFF"/>
      <name val="Avenir Next LT Pro Light"/>
      <family val="2"/>
    </font>
    <font>
      <sz val="12"/>
      <color theme="1"/>
      <name val="Avenir Next LT Pro Light"/>
      <family val="2"/>
    </font>
    <font>
      <sz val="10"/>
      <color rgb="FF000000"/>
      <name val="Avenir Next LT Pro Light"/>
      <family val="2"/>
    </font>
    <font>
      <b/>
      <sz val="10"/>
      <color rgb="FFFFFFFF"/>
      <name val="Avenir Next LT Pro Light"/>
      <family val="2"/>
    </font>
    <font>
      <sz val="10"/>
      <color theme="1"/>
      <name val="Avenir Next LT Pro Light"/>
      <family val="2"/>
    </font>
    <font>
      <sz val="8"/>
      <color theme="1"/>
      <name val="Avenir Next LT Pro Light"/>
      <family val="2"/>
    </font>
    <font>
      <sz val="11"/>
      <color theme="1"/>
      <name val="Avenir Next LT Pro Light"/>
      <family val="2"/>
    </font>
    <font>
      <sz val="9"/>
      <color theme="1"/>
      <name val="Avenir Next LT Pro Light"/>
      <family val="2"/>
    </font>
    <font>
      <b/>
      <sz val="10"/>
      <color theme="0"/>
      <name val="Montserrat"/>
      <family val="3"/>
    </font>
    <font>
      <b/>
      <sz val="10"/>
      <color rgb="FF002060"/>
      <name val="Montserrat"/>
      <family val="3"/>
    </font>
    <font>
      <b/>
      <sz val="10"/>
      <color theme="0"/>
      <name val="Avenir Next LT Pro Light"/>
      <family val="2"/>
    </font>
    <font>
      <b/>
      <sz val="12"/>
      <color theme="0"/>
      <name val="Avenir Next LT Pro Light"/>
      <family val="2"/>
    </font>
    <font>
      <sz val="11"/>
      <color theme="1"/>
      <name val="Avenir Next LT Pro"/>
      <family val="2"/>
    </font>
    <font>
      <sz val="12"/>
      <color rgb="FF000000"/>
      <name val="Avenir Next LT Pro"/>
      <family val="2"/>
    </font>
    <font>
      <sz val="10"/>
      <color rgb="FF000000"/>
      <name val="Avenir Next LT Pro"/>
      <family val="2"/>
    </font>
    <font>
      <sz val="11"/>
      <color theme="0"/>
      <name val="Avenir Next LT Pro"/>
      <family val="2"/>
    </font>
    <font>
      <sz val="10"/>
      <color theme="1"/>
      <name val="Avenir Next LT Pro"/>
      <family val="2"/>
    </font>
    <font>
      <sz val="9"/>
      <color theme="1"/>
      <name val="Avenir Next LT Pro"/>
      <family val="2"/>
    </font>
    <font>
      <sz val="10"/>
      <color theme="0"/>
      <name val="Avenir Next LT Pro"/>
      <family val="2"/>
    </font>
    <font>
      <b/>
      <sz val="11"/>
      <color theme="1"/>
      <name val="Avenir Next LT Pro"/>
      <family val="2"/>
    </font>
    <font>
      <b/>
      <sz val="10"/>
      <color theme="1"/>
      <name val="Avenir Next LT Pro"/>
      <family val="2"/>
    </font>
    <font>
      <b/>
      <i/>
      <sz val="10"/>
      <color theme="0"/>
      <name val="Avenir Next LT Pro"/>
      <family val="2"/>
    </font>
    <font>
      <b/>
      <sz val="11"/>
      <color theme="0"/>
      <name val="Avenir Next LT Pro"/>
      <family val="2"/>
    </font>
    <font>
      <sz val="10"/>
      <name val="Avenir Next LT Pro"/>
      <family val="2"/>
    </font>
    <font>
      <sz val="8"/>
      <color theme="0"/>
      <name val="Avenir Next LT Pro"/>
      <family val="2"/>
    </font>
    <font>
      <sz val="8"/>
      <color theme="1"/>
      <name val="Avenir Next LT Pro"/>
      <family val="2"/>
    </font>
    <font>
      <b/>
      <sz val="10"/>
      <color theme="0"/>
      <name val="Avenir Next LT Pro"/>
      <family val="2"/>
    </font>
    <font>
      <b/>
      <sz val="36"/>
      <color theme="1"/>
      <name val="Avenir Next LT Pro"/>
      <family val="2"/>
    </font>
    <font>
      <b/>
      <i/>
      <sz val="10"/>
      <color theme="0"/>
      <name val="Avenir Next LT Pro Light"/>
      <family val="2"/>
    </font>
    <font>
      <b/>
      <sz val="8"/>
      <color theme="0"/>
      <name val="Avenir Next LT Pro"/>
      <family val="2"/>
    </font>
    <font>
      <b/>
      <sz val="11"/>
      <name val="Avenir Next LT Pro"/>
      <family val="2"/>
    </font>
    <font>
      <b/>
      <sz val="10"/>
      <color rgb="FFFF0000"/>
      <name val="Avenir Next LT Pro"/>
      <family val="2"/>
    </font>
    <font>
      <sz val="11"/>
      <color theme="1"/>
      <name val="Montserrat"/>
      <family val="3"/>
    </font>
  </fonts>
  <fills count="35">
    <fill>
      <patternFill patternType="none"/>
    </fill>
    <fill>
      <patternFill patternType="gray125"/>
    </fill>
    <fill>
      <patternFill patternType="solid">
        <fgColor rgb="FF2E75B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rgb="FF0070C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theme="8" tint="-0.499984740745262"/>
      </left>
      <right/>
      <top style="thick">
        <color theme="8" tint="-0.499984740745262"/>
      </top>
      <bottom style="thin">
        <color indexed="64"/>
      </bottom>
      <diagonal/>
    </border>
    <border>
      <left/>
      <right/>
      <top style="thick">
        <color theme="8" tint="-0.499984740745262"/>
      </top>
      <bottom style="thin">
        <color indexed="64"/>
      </bottom>
      <diagonal/>
    </border>
    <border>
      <left/>
      <right style="thick">
        <color theme="8" tint="-0.499984740745262"/>
      </right>
      <top style="thick">
        <color theme="8" tint="-0.499984740745262"/>
      </top>
      <bottom style="thin">
        <color indexed="64"/>
      </bottom>
      <diagonal/>
    </border>
    <border>
      <left style="thick">
        <color theme="8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8" tint="-0.499984740745262"/>
      </right>
      <top style="thin">
        <color indexed="64"/>
      </top>
      <bottom style="thin">
        <color indexed="64"/>
      </bottom>
      <diagonal/>
    </border>
    <border>
      <left style="thick">
        <color theme="5" tint="-0.24994659260841701"/>
      </left>
      <right/>
      <top style="thick">
        <color theme="5" tint="-0.24994659260841701"/>
      </top>
      <bottom style="thin">
        <color indexed="64"/>
      </bottom>
      <diagonal/>
    </border>
    <border>
      <left/>
      <right/>
      <top style="thick">
        <color theme="5" tint="-0.24994659260841701"/>
      </top>
      <bottom style="thin">
        <color indexed="64"/>
      </bottom>
      <diagonal/>
    </border>
    <border>
      <left/>
      <right style="thin">
        <color indexed="64"/>
      </right>
      <top style="thick">
        <color theme="5" tint="-0.24994659260841701"/>
      </top>
      <bottom style="thin">
        <color indexed="64"/>
      </bottom>
      <diagonal/>
    </border>
    <border>
      <left style="thin">
        <color indexed="64"/>
      </left>
      <right/>
      <top style="thick">
        <color theme="5" tint="-0.24994659260841701"/>
      </top>
      <bottom style="thin">
        <color indexed="64"/>
      </bottom>
      <diagonal/>
    </border>
    <border>
      <left/>
      <right style="thick">
        <color theme="5" tint="-0.24994659260841701"/>
      </right>
      <top style="thick">
        <color theme="5" tint="-0.24994659260841701"/>
      </top>
      <bottom style="thin">
        <color indexed="64"/>
      </bottom>
      <diagonal/>
    </border>
    <border>
      <left style="thick">
        <color theme="5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theme="5" tint="-0.24994659260841701"/>
      </left>
      <right/>
      <top style="thick">
        <color theme="5" tint="-0.24994659260841701"/>
      </top>
      <bottom/>
      <diagonal/>
    </border>
    <border>
      <left/>
      <right/>
      <top style="thick">
        <color theme="5" tint="-0.24994659260841701"/>
      </top>
      <bottom/>
      <diagonal/>
    </border>
    <border>
      <left/>
      <right style="thick">
        <color theme="5" tint="-0.24994659260841701"/>
      </right>
      <top style="thick">
        <color theme="5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13">
    <xf numFmtId="0" fontId="0" fillId="0" borderId="0" xfId="0"/>
    <xf numFmtId="0" fontId="1" fillId="0" borderId="0" xfId="0" applyFont="1"/>
    <xf numFmtId="0" fontId="8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164" fontId="13" fillId="0" borderId="0" xfId="0" applyNumberFormat="1" applyFont="1" applyAlignment="1">
      <alignment horizontal="center" vertical="center"/>
    </xf>
    <xf numFmtId="0" fontId="13" fillId="0" borderId="0" xfId="0" applyFont="1"/>
    <xf numFmtId="0" fontId="14" fillId="0" borderId="0" xfId="0" applyFont="1" applyAlignment="1">
      <alignment horizontal="right"/>
    </xf>
    <xf numFmtId="0" fontId="14" fillId="0" borderId="0" xfId="0" applyFont="1"/>
    <xf numFmtId="0" fontId="5" fillId="0" borderId="1" xfId="0" applyFont="1" applyBorder="1" applyAlignment="1">
      <alignment horizontal="center" vertical="center"/>
    </xf>
    <xf numFmtId="0" fontId="15" fillId="8" borderId="2" xfId="0" applyFont="1" applyFill="1" applyBorder="1" applyAlignment="1">
      <alignment horizontal="center" vertical="center" wrapText="1"/>
    </xf>
    <xf numFmtId="0" fontId="12" fillId="14" borderId="1" xfId="0" applyFont="1" applyFill="1" applyBorder="1" applyAlignment="1">
      <alignment horizontal="center" vertical="center" wrapText="1"/>
    </xf>
    <xf numFmtId="0" fontId="12" fillId="15" borderId="1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right" wrapText="1"/>
    </xf>
    <xf numFmtId="0" fontId="9" fillId="0" borderId="2" xfId="0" applyFont="1" applyBorder="1" applyAlignment="1">
      <alignment horizontal="right" wrapText="1"/>
    </xf>
    <xf numFmtId="0" fontId="5" fillId="0" borderId="4" xfId="0" applyFont="1" applyBorder="1" applyAlignment="1">
      <alignment horizontal="center" vertical="center"/>
    </xf>
    <xf numFmtId="0" fontId="12" fillId="14" borderId="4" xfId="0" applyFont="1" applyFill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12" fillId="14" borderId="10" xfId="0" applyFont="1" applyFill="1" applyBorder="1" applyAlignment="1">
      <alignment horizontal="center" vertical="center" wrapText="1"/>
    </xf>
    <xf numFmtId="0" fontId="12" fillId="14" borderId="11" xfId="0" applyFont="1" applyFill="1" applyBorder="1" applyAlignment="1">
      <alignment horizontal="center" vertical="center" wrapText="1"/>
    </xf>
    <xf numFmtId="0" fontId="12" fillId="15" borderId="4" xfId="0" applyFont="1" applyFill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12" fillId="15" borderId="17" xfId="0" applyFont="1" applyFill="1" applyBorder="1" applyAlignment="1">
      <alignment horizontal="center" vertical="center" wrapText="1"/>
    </xf>
    <xf numFmtId="0" fontId="12" fillId="15" borderId="18" xfId="0" applyFont="1" applyFill="1" applyBorder="1" applyAlignment="1">
      <alignment horizontal="center" vertical="center" wrapText="1"/>
    </xf>
    <xf numFmtId="0" fontId="3" fillId="22" borderId="19" xfId="0" applyFont="1" applyFill="1" applyBorder="1" applyAlignment="1">
      <alignment horizontal="center" vertical="center" wrapText="1"/>
    </xf>
    <xf numFmtId="0" fontId="16" fillId="22" borderId="19" xfId="0" applyFont="1" applyFill="1" applyBorder="1" applyAlignment="1">
      <alignment horizontal="center" vertical="center" wrapText="1"/>
    </xf>
    <xf numFmtId="0" fontId="5" fillId="22" borderId="19" xfId="0" applyFont="1" applyFill="1" applyBorder="1" applyAlignment="1">
      <alignment horizontal="center" vertical="center"/>
    </xf>
    <xf numFmtId="0" fontId="12" fillId="22" borderId="0" xfId="0" applyFont="1" applyFill="1" applyAlignment="1">
      <alignment horizontal="center" vertical="center" wrapText="1"/>
    </xf>
    <xf numFmtId="0" fontId="2" fillId="22" borderId="0" xfId="0" applyFont="1" applyFill="1" applyAlignment="1">
      <alignment horizontal="center" vertical="center"/>
    </xf>
    <xf numFmtId="0" fontId="11" fillId="22" borderId="0" xfId="0" applyFont="1" applyFill="1" applyAlignment="1">
      <alignment horizontal="center" vertical="center"/>
    </xf>
    <xf numFmtId="0" fontId="8" fillId="22" borderId="0" xfId="0" applyFont="1" applyFill="1"/>
    <xf numFmtId="0" fontId="11" fillId="22" borderId="0" xfId="0" applyFont="1" applyFill="1"/>
    <xf numFmtId="0" fontId="12" fillId="22" borderId="0" xfId="0" applyFont="1" applyFill="1"/>
    <xf numFmtId="0" fontId="13" fillId="22" borderId="0" xfId="0" applyFont="1" applyFill="1" applyAlignment="1">
      <alignment vertical="center"/>
    </xf>
    <xf numFmtId="0" fontId="3" fillId="23" borderId="19" xfId="0" applyFont="1" applyFill="1" applyBorder="1" applyAlignment="1">
      <alignment horizontal="center" vertical="center" wrapText="1"/>
    </xf>
    <xf numFmtId="0" fontId="16" fillId="23" borderId="0" xfId="0" applyFont="1" applyFill="1" applyAlignment="1">
      <alignment horizontal="center" vertical="center" wrapText="1"/>
    </xf>
    <xf numFmtId="0" fontId="5" fillId="23" borderId="19" xfId="0" applyFont="1" applyFill="1" applyBorder="1" applyAlignment="1">
      <alignment horizontal="center" vertical="center"/>
    </xf>
    <xf numFmtId="0" fontId="12" fillId="23" borderId="0" xfId="0" applyFont="1" applyFill="1" applyAlignment="1">
      <alignment horizontal="center" vertical="center" wrapText="1"/>
    </xf>
    <xf numFmtId="0" fontId="2" fillId="23" borderId="0" xfId="0" applyFont="1" applyFill="1" applyAlignment="1">
      <alignment horizontal="center" vertical="center"/>
    </xf>
    <xf numFmtId="0" fontId="8" fillId="23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3" fillId="23" borderId="0" xfId="0" applyFont="1" applyFill="1" applyAlignment="1">
      <alignment horizontal="center"/>
    </xf>
    <xf numFmtId="0" fontId="19" fillId="0" borderId="0" xfId="0" applyFont="1"/>
    <xf numFmtId="0" fontId="20" fillId="0" borderId="0" xfId="0" applyFont="1" applyAlignment="1">
      <alignment horizontal="right" wrapText="1"/>
    </xf>
    <xf numFmtId="164" fontId="19" fillId="0" borderId="0" xfId="0" applyNumberFormat="1" applyFont="1" applyAlignment="1">
      <alignment horizontal="center"/>
    </xf>
    <xf numFmtId="0" fontId="21" fillId="0" borderId="0" xfId="0" applyFont="1" applyAlignment="1">
      <alignment horizontal="right" wrapText="1"/>
    </xf>
    <xf numFmtId="0" fontId="19" fillId="9" borderId="1" xfId="0" applyFont="1" applyFill="1" applyBorder="1" applyAlignment="1">
      <alignment horizontal="center"/>
    </xf>
    <xf numFmtId="0" fontId="19" fillId="11" borderId="1" xfId="0" applyFont="1" applyFill="1" applyBorder="1" applyAlignment="1">
      <alignment horizontal="center"/>
    </xf>
    <xf numFmtId="0" fontId="19" fillId="0" borderId="0" xfId="0" applyFont="1" applyAlignment="1">
      <alignment horizontal="center"/>
    </xf>
    <xf numFmtId="0" fontId="24" fillId="0" borderId="0" xfId="0" applyFont="1" applyAlignment="1">
      <alignment horizontal="right"/>
    </xf>
    <xf numFmtId="0" fontId="22" fillId="0" borderId="1" xfId="0" applyFont="1" applyBorder="1" applyAlignment="1">
      <alignment horizontal="right"/>
    </xf>
    <xf numFmtId="0" fontId="26" fillId="13" borderId="1" xfId="0" applyFont="1" applyFill="1" applyBorder="1" applyAlignment="1">
      <alignment horizontal="center"/>
    </xf>
    <xf numFmtId="0" fontId="26" fillId="11" borderId="1" xfId="0" applyFont="1" applyFill="1" applyBorder="1" applyAlignment="1">
      <alignment horizontal="center"/>
    </xf>
    <xf numFmtId="0" fontId="26" fillId="9" borderId="1" xfId="0" applyFont="1" applyFill="1" applyBorder="1" applyAlignment="1">
      <alignment horizontal="center"/>
    </xf>
    <xf numFmtId="164" fontId="25" fillId="0" borderId="1" xfId="0" applyNumberFormat="1" applyFont="1" applyBorder="1" applyAlignment="1">
      <alignment horizontal="right" vertical="center" wrapText="1"/>
    </xf>
    <xf numFmtId="0" fontId="11" fillId="10" borderId="2" xfId="0" applyFont="1" applyFill="1" applyBorder="1" applyAlignment="1">
      <alignment horizontal="right" vertical="center"/>
    </xf>
    <xf numFmtId="0" fontId="23" fillId="13" borderId="1" xfId="0" applyFont="1" applyFill="1" applyBorder="1" applyAlignment="1">
      <alignment horizontal="center"/>
    </xf>
    <xf numFmtId="0" fontId="27" fillId="13" borderId="1" xfId="0" applyFont="1" applyFill="1" applyBorder="1" applyAlignment="1">
      <alignment horizontal="center"/>
    </xf>
    <xf numFmtId="0" fontId="23" fillId="9" borderId="1" xfId="0" applyFont="1" applyFill="1" applyBorder="1" applyAlignment="1">
      <alignment horizontal="center"/>
    </xf>
    <xf numFmtId="0" fontId="27" fillId="9" borderId="1" xfId="0" applyFont="1" applyFill="1" applyBorder="1" applyAlignment="1">
      <alignment horizontal="center"/>
    </xf>
    <xf numFmtId="0" fontId="28" fillId="26" borderId="2" xfId="0" applyFont="1" applyFill="1" applyBorder="1" applyAlignment="1">
      <alignment horizontal="center" vertical="center" wrapText="1"/>
    </xf>
    <xf numFmtId="0" fontId="28" fillId="26" borderId="1" xfId="0" applyFont="1" applyFill="1" applyBorder="1" applyAlignment="1">
      <alignment horizontal="center" vertical="center" wrapText="1"/>
    </xf>
    <xf numFmtId="0" fontId="29" fillId="12" borderId="1" xfId="0" applyFont="1" applyFill="1" applyBorder="1" applyAlignment="1">
      <alignment horizontal="center"/>
    </xf>
    <xf numFmtId="0" fontId="29" fillId="12" borderId="2" xfId="0" applyFont="1" applyFill="1" applyBorder="1" applyAlignment="1">
      <alignment horizontal="center"/>
    </xf>
    <xf numFmtId="0" fontId="29" fillId="20" borderId="1" xfId="0" applyFont="1" applyFill="1" applyBorder="1" applyAlignment="1">
      <alignment horizontal="center"/>
    </xf>
    <xf numFmtId="0" fontId="29" fillId="20" borderId="2" xfId="0" applyFont="1" applyFill="1" applyBorder="1" applyAlignment="1">
      <alignment horizontal="center"/>
    </xf>
    <xf numFmtId="0" fontId="19" fillId="3" borderId="1" xfId="0" applyFont="1" applyFill="1" applyBorder="1" applyAlignment="1">
      <alignment horizontal="center"/>
    </xf>
    <xf numFmtId="0" fontId="29" fillId="16" borderId="1" xfId="0" applyFont="1" applyFill="1" applyBorder="1" applyAlignment="1">
      <alignment horizontal="center"/>
    </xf>
    <xf numFmtId="0" fontId="29" fillId="16" borderId="2" xfId="0" applyFont="1" applyFill="1" applyBorder="1" applyAlignment="1">
      <alignment horizontal="center"/>
    </xf>
    <xf numFmtId="0" fontId="26" fillId="3" borderId="1" xfId="0" applyFont="1" applyFill="1" applyBorder="1" applyAlignment="1">
      <alignment horizontal="center"/>
    </xf>
    <xf numFmtId="0" fontId="12" fillId="21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8" fillId="27" borderId="0" xfId="0" applyFont="1" applyFill="1"/>
    <xf numFmtId="0" fontId="11" fillId="27" borderId="0" xfId="0" applyFont="1" applyFill="1"/>
    <xf numFmtId="0" fontId="12" fillId="27" borderId="0" xfId="0" applyFont="1" applyFill="1"/>
    <xf numFmtId="0" fontId="13" fillId="27" borderId="0" xfId="0" applyFont="1" applyFill="1" applyAlignment="1">
      <alignment vertical="center"/>
    </xf>
    <xf numFmtId="0" fontId="13" fillId="27" borderId="0" xfId="0" applyFont="1" applyFill="1"/>
    <xf numFmtId="0" fontId="20" fillId="0" borderId="1" xfId="0" applyFont="1" applyBorder="1" applyAlignment="1">
      <alignment horizontal="right" wrapText="1"/>
    </xf>
    <xf numFmtId="0" fontId="21" fillId="0" borderId="1" xfId="0" applyFont="1" applyBorder="1" applyAlignment="1">
      <alignment horizontal="right" wrapText="1"/>
    </xf>
    <xf numFmtId="0" fontId="24" fillId="10" borderId="1" xfId="0" applyFont="1" applyFill="1" applyBorder="1" applyAlignment="1">
      <alignment horizontal="center"/>
    </xf>
    <xf numFmtId="0" fontId="24" fillId="10" borderId="1" xfId="0" applyFont="1" applyFill="1" applyBorder="1" applyAlignment="1">
      <alignment horizontal="center" vertical="top"/>
    </xf>
    <xf numFmtId="0" fontId="30" fillId="7" borderId="2" xfId="0" applyFont="1" applyFill="1" applyBorder="1" applyAlignment="1">
      <alignment horizontal="right" vertical="center"/>
    </xf>
    <xf numFmtId="0" fontId="30" fillId="7" borderId="2" xfId="0" applyFont="1" applyFill="1" applyBorder="1" applyAlignment="1">
      <alignment horizontal="right" vertical="center" wrapText="1"/>
    </xf>
    <xf numFmtId="0" fontId="24" fillId="3" borderId="1" xfId="0" applyFont="1" applyFill="1" applyBorder="1" applyAlignment="1">
      <alignment horizontal="center"/>
    </xf>
    <xf numFmtId="0" fontId="24" fillId="3" borderId="1" xfId="0" applyFont="1" applyFill="1" applyBorder="1" applyAlignment="1">
      <alignment horizontal="center" vertical="top"/>
    </xf>
    <xf numFmtId="0" fontId="24" fillId="5" borderId="1" xfId="0" applyFont="1" applyFill="1" applyBorder="1" applyAlignment="1">
      <alignment horizontal="center"/>
    </xf>
    <xf numFmtId="0" fontId="24" fillId="5" borderId="23" xfId="0" applyFont="1" applyFill="1" applyBorder="1" applyAlignment="1">
      <alignment horizontal="center"/>
    </xf>
    <xf numFmtId="0" fontId="31" fillId="0" borderId="0" xfId="0" applyFont="1"/>
    <xf numFmtId="0" fontId="32" fillId="0" borderId="0" xfId="0" applyFont="1"/>
    <xf numFmtId="1" fontId="31" fillId="0" borderId="1" xfId="0" applyNumberFormat="1" applyFont="1" applyBorder="1" applyAlignment="1">
      <alignment horizontal="right" vertical="center" wrapText="1"/>
    </xf>
    <xf numFmtId="1" fontId="31" fillId="7" borderId="1" xfId="0" applyNumberFormat="1" applyFont="1" applyFill="1" applyBorder="1" applyAlignment="1">
      <alignment horizontal="right" vertical="center" wrapText="1"/>
    </xf>
    <xf numFmtId="1" fontId="31" fillId="0" borderId="1" xfId="0" applyNumberFormat="1" applyFont="1" applyBorder="1" applyAlignment="1">
      <alignment horizontal="left" vertical="center" wrapText="1"/>
    </xf>
    <xf numFmtId="1" fontId="19" fillId="0" borderId="0" xfId="0" applyNumberFormat="1" applyFont="1" applyAlignment="1">
      <alignment horizontal="center"/>
    </xf>
    <xf numFmtId="0" fontId="20" fillId="0" borderId="1" xfId="0" applyFont="1" applyBorder="1" applyAlignment="1">
      <alignment horizontal="center" wrapText="1"/>
    </xf>
    <xf numFmtId="0" fontId="21" fillId="0" borderId="1" xfId="0" applyFont="1" applyBorder="1" applyAlignment="1">
      <alignment horizontal="center" wrapText="1"/>
    </xf>
    <xf numFmtId="0" fontId="31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1" fontId="26" fillId="3" borderId="1" xfId="0" applyNumberFormat="1" applyFont="1" applyFill="1" applyBorder="1" applyAlignment="1">
      <alignment horizontal="center"/>
    </xf>
    <xf numFmtId="0" fontId="19" fillId="15" borderId="1" xfId="0" applyFont="1" applyFill="1" applyBorder="1" applyAlignment="1">
      <alignment horizontal="center"/>
    </xf>
    <xf numFmtId="1" fontId="26" fillId="15" borderId="1" xfId="0" applyNumberFormat="1" applyFont="1" applyFill="1" applyBorder="1" applyAlignment="1">
      <alignment horizontal="center"/>
    </xf>
    <xf numFmtId="0" fontId="33" fillId="20" borderId="2" xfId="0" applyFont="1" applyFill="1" applyBorder="1" applyAlignment="1">
      <alignment horizontal="right" vertical="center"/>
    </xf>
    <xf numFmtId="0" fontId="23" fillId="7" borderId="2" xfId="0" applyFont="1" applyFill="1" applyBorder="1" applyAlignment="1">
      <alignment horizontal="right" vertical="center"/>
    </xf>
    <xf numFmtId="0" fontId="13" fillId="0" borderId="1" xfId="0" applyFont="1" applyBorder="1" applyAlignment="1">
      <alignment horizontal="center" vertical="center"/>
    </xf>
    <xf numFmtId="0" fontId="35" fillId="30" borderId="2" xfId="0" applyFont="1" applyFill="1" applyBorder="1" applyAlignment="1">
      <alignment horizontal="center" vertical="center" wrapText="1"/>
    </xf>
    <xf numFmtId="0" fontId="13" fillId="6" borderId="10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1" fontId="36" fillId="0" borderId="1" xfId="0" applyNumberFormat="1" applyFont="1" applyBorder="1" applyAlignment="1">
      <alignment horizontal="center" vertical="center" wrapText="1"/>
    </xf>
    <xf numFmtId="0" fontId="13" fillId="6" borderId="17" xfId="0" applyFont="1" applyFill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23" fillId="10" borderId="2" xfId="0" applyFont="1" applyFill="1" applyBorder="1" applyAlignment="1">
      <alignment horizontal="right" vertical="center"/>
    </xf>
    <xf numFmtId="164" fontId="29" fillId="31" borderId="0" xfId="0" applyNumberFormat="1" applyFont="1" applyFill="1" applyAlignment="1">
      <alignment horizontal="center"/>
    </xf>
    <xf numFmtId="0" fontId="23" fillId="7" borderId="2" xfId="0" applyFont="1" applyFill="1" applyBorder="1" applyAlignment="1">
      <alignment horizontal="center" vertical="center"/>
    </xf>
    <xf numFmtId="0" fontId="33" fillId="12" borderId="2" xfId="0" applyFont="1" applyFill="1" applyBorder="1" applyAlignment="1">
      <alignment horizontal="right" vertical="center"/>
    </xf>
    <xf numFmtId="1" fontId="37" fillId="7" borderId="1" xfId="0" applyNumberFormat="1" applyFont="1" applyFill="1" applyBorder="1" applyAlignment="1">
      <alignment horizontal="center"/>
    </xf>
    <xf numFmtId="0" fontId="30" fillId="7" borderId="1" xfId="0" applyFont="1" applyFill="1" applyBorder="1" applyAlignment="1">
      <alignment horizontal="right" vertical="center"/>
    </xf>
    <xf numFmtId="1" fontId="19" fillId="0" borderId="1" xfId="0" applyNumberFormat="1" applyFont="1" applyBorder="1" applyAlignment="1">
      <alignment horizontal="center"/>
    </xf>
    <xf numFmtId="1" fontId="26" fillId="5" borderId="1" xfId="0" applyNumberFormat="1" applyFont="1" applyFill="1" applyBorder="1" applyAlignment="1">
      <alignment horizontal="center"/>
    </xf>
    <xf numFmtId="0" fontId="29" fillId="4" borderId="1" xfId="0" applyFont="1" applyFill="1" applyBorder="1" applyAlignment="1">
      <alignment horizontal="center"/>
    </xf>
    <xf numFmtId="0" fontId="29" fillId="4" borderId="2" xfId="0" applyFont="1" applyFill="1" applyBorder="1" applyAlignment="1">
      <alignment horizontal="center"/>
    </xf>
    <xf numFmtId="0" fontId="19" fillId="5" borderId="1" xfId="0" applyFont="1" applyFill="1" applyBorder="1" applyAlignment="1">
      <alignment horizontal="center"/>
    </xf>
    <xf numFmtId="0" fontId="38" fillId="33" borderId="2" xfId="0" applyFont="1" applyFill="1" applyBorder="1" applyAlignment="1">
      <alignment horizontal="right" vertical="center"/>
    </xf>
    <xf numFmtId="0" fontId="38" fillId="9" borderId="2" xfId="0" applyFont="1" applyFill="1" applyBorder="1" applyAlignment="1">
      <alignment horizontal="right" vertical="center"/>
    </xf>
    <xf numFmtId="0" fontId="33" fillId="4" borderId="2" xfId="0" applyFont="1" applyFill="1" applyBorder="1" applyAlignment="1">
      <alignment horizontal="right" vertical="center"/>
    </xf>
    <xf numFmtId="0" fontId="33" fillId="27" borderId="0" xfId="0" applyFont="1" applyFill="1" applyAlignment="1">
      <alignment horizontal="right" vertical="center" wrapText="1"/>
    </xf>
    <xf numFmtId="0" fontId="33" fillId="20" borderId="0" xfId="0" applyFont="1" applyFill="1" applyAlignment="1">
      <alignment horizontal="right" vertical="center" wrapText="1"/>
    </xf>
    <xf numFmtId="0" fontId="33" fillId="17" borderId="0" xfId="0" applyFont="1" applyFill="1" applyAlignment="1">
      <alignment horizontal="right" vertical="center" wrapText="1"/>
    </xf>
    <xf numFmtId="0" fontId="19" fillId="0" borderId="0" xfId="0" applyFont="1" applyAlignment="1">
      <alignment vertical="center"/>
    </xf>
    <xf numFmtId="0" fontId="29" fillId="28" borderId="0" xfId="0" applyFont="1" applyFill="1" applyAlignment="1">
      <alignment horizontal="center" vertical="center"/>
    </xf>
    <xf numFmtId="1" fontId="26" fillId="25" borderId="0" xfId="0" applyNumberFormat="1" applyFont="1" applyFill="1" applyAlignment="1">
      <alignment horizontal="right" vertical="center"/>
    </xf>
    <xf numFmtId="1" fontId="26" fillId="25" borderId="0" xfId="0" applyNumberFormat="1" applyFont="1" applyFill="1" applyAlignment="1">
      <alignment horizontal="center" vertical="center"/>
    </xf>
    <xf numFmtId="1" fontId="26" fillId="21" borderId="0" xfId="0" applyNumberFormat="1" applyFont="1" applyFill="1" applyAlignment="1">
      <alignment horizontal="right" vertical="center"/>
    </xf>
    <xf numFmtId="1" fontId="26" fillId="21" borderId="0" xfId="0" applyNumberFormat="1" applyFont="1" applyFill="1" applyAlignment="1">
      <alignment horizontal="center" vertical="center"/>
    </xf>
    <xf numFmtId="1" fontId="26" fillId="5" borderId="0" xfId="0" applyNumberFormat="1" applyFont="1" applyFill="1" applyAlignment="1">
      <alignment horizontal="right" vertical="center"/>
    </xf>
    <xf numFmtId="1" fontId="26" fillId="5" borderId="0" xfId="0" applyNumberFormat="1" applyFont="1" applyFill="1" applyAlignment="1">
      <alignment horizontal="center" vertical="center"/>
    </xf>
    <xf numFmtId="1" fontId="19" fillId="0" borderId="0" xfId="0" applyNumberFormat="1" applyFont="1" applyAlignment="1">
      <alignment vertical="center"/>
    </xf>
    <xf numFmtId="0" fontId="19" fillId="0" borderId="0" xfId="0" applyFont="1" applyAlignment="1">
      <alignment vertical="center" wrapText="1"/>
    </xf>
    <xf numFmtId="0" fontId="19" fillId="0" borderId="0" xfId="0" applyFont="1" applyAlignment="1">
      <alignment horizontal="center" vertical="center"/>
    </xf>
    <xf numFmtId="0" fontId="19" fillId="28" borderId="0" xfId="0" applyFont="1" applyFill="1" applyAlignment="1">
      <alignment vertical="center" wrapText="1"/>
    </xf>
    <xf numFmtId="0" fontId="19" fillId="28" borderId="0" xfId="0" applyFont="1" applyFill="1" applyAlignment="1">
      <alignment vertical="center"/>
    </xf>
    <xf numFmtId="0" fontId="19" fillId="28" borderId="0" xfId="0" applyFont="1" applyFill="1" applyAlignment="1">
      <alignment horizontal="center" vertical="center"/>
    </xf>
    <xf numFmtId="0" fontId="19" fillId="28" borderId="0" xfId="0" applyFont="1" applyFill="1"/>
    <xf numFmtId="0" fontId="19" fillId="28" borderId="0" xfId="0" applyFont="1" applyFill="1" applyAlignment="1">
      <alignment horizontal="center"/>
    </xf>
    <xf numFmtId="0" fontId="13" fillId="10" borderId="4" xfId="0" applyFont="1" applyFill="1" applyBorder="1" applyAlignment="1">
      <alignment horizontal="center" vertical="center"/>
    </xf>
    <xf numFmtId="0" fontId="13" fillId="1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 vertical="center"/>
    </xf>
    <xf numFmtId="0" fontId="39" fillId="9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10" fillId="2" borderId="10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 wrapText="1"/>
    </xf>
    <xf numFmtId="0" fontId="10" fillId="2" borderId="11" xfId="0" applyFont="1" applyFill="1" applyBorder="1" applyAlignment="1">
      <alignment horizontal="center" vertical="center" wrapText="1"/>
    </xf>
    <xf numFmtId="0" fontId="7" fillId="19" borderId="5" xfId="0" applyFont="1" applyFill="1" applyBorder="1" applyAlignment="1">
      <alignment horizontal="center" vertical="center" wrapText="1"/>
    </xf>
    <xf numFmtId="0" fontId="10" fillId="16" borderId="3" xfId="0" applyFont="1" applyFill="1" applyBorder="1" applyAlignment="1">
      <alignment horizontal="center" vertical="center" wrapText="1"/>
    </xf>
    <xf numFmtId="0" fontId="10" fillId="17" borderId="3" xfId="0" applyFont="1" applyFill="1" applyBorder="1" applyAlignment="1">
      <alignment horizontal="center" vertical="center" wrapText="1"/>
    </xf>
    <xf numFmtId="0" fontId="10" fillId="17" borderId="4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 wrapText="1"/>
    </xf>
    <xf numFmtId="0" fontId="7" fillId="20" borderId="20" xfId="0" applyFont="1" applyFill="1" applyBorder="1" applyAlignment="1">
      <alignment horizontal="center" vertical="center" wrapText="1"/>
    </xf>
    <xf numFmtId="0" fontId="7" fillId="20" borderId="21" xfId="0" applyFont="1" applyFill="1" applyBorder="1" applyAlignment="1">
      <alignment horizontal="center" vertical="center" wrapText="1"/>
    </xf>
    <xf numFmtId="0" fontId="7" fillId="20" borderId="22" xfId="0" applyFont="1" applyFill="1" applyBorder="1" applyAlignment="1">
      <alignment horizontal="center" vertical="center" wrapText="1"/>
    </xf>
    <xf numFmtId="0" fontId="17" fillId="20" borderId="15" xfId="0" applyFont="1" applyFill="1" applyBorder="1" applyAlignment="1">
      <alignment horizontal="center" vertical="center" wrapText="1"/>
    </xf>
    <xf numFmtId="0" fontId="17" fillId="20" borderId="16" xfId="0" applyFont="1" applyFill="1" applyBorder="1" applyAlignment="1">
      <alignment horizontal="center" vertical="center" wrapText="1"/>
    </xf>
    <xf numFmtId="0" fontId="7" fillId="19" borderId="6" xfId="0" applyFont="1" applyFill="1" applyBorder="1" applyAlignment="1">
      <alignment horizontal="center" vertical="center" wrapText="1"/>
    </xf>
    <xf numFmtId="0" fontId="15" fillId="8" borderId="3" xfId="0" applyFont="1" applyFill="1" applyBorder="1" applyAlignment="1">
      <alignment horizontal="center" vertical="center" wrapText="1"/>
    </xf>
    <xf numFmtId="0" fontId="15" fillId="8" borderId="4" xfId="0" applyFont="1" applyFill="1" applyBorder="1" applyAlignment="1">
      <alignment horizontal="center" vertical="center" wrapText="1"/>
    </xf>
    <xf numFmtId="0" fontId="16" fillId="9" borderId="2" xfId="0" applyFont="1" applyFill="1" applyBorder="1" applyAlignment="1">
      <alignment horizontal="center" vertical="center" wrapText="1"/>
    </xf>
    <xf numFmtId="0" fontId="16" fillId="9" borderId="3" xfId="0" applyFont="1" applyFill="1" applyBorder="1" applyAlignment="1">
      <alignment horizontal="center" vertical="center" wrapText="1"/>
    </xf>
    <xf numFmtId="0" fontId="16" fillId="9" borderId="4" xfId="0" applyFont="1" applyFill="1" applyBorder="1" applyAlignment="1">
      <alignment horizontal="center" vertical="center" wrapText="1"/>
    </xf>
    <xf numFmtId="0" fontId="3" fillId="21" borderId="1" xfId="0" applyFont="1" applyFill="1" applyBorder="1" applyAlignment="1">
      <alignment horizontal="center" vertical="center" wrapText="1"/>
    </xf>
    <xf numFmtId="0" fontId="17" fillId="20" borderId="12" xfId="0" applyFont="1" applyFill="1" applyBorder="1" applyAlignment="1">
      <alignment horizontal="center" vertical="center" wrapText="1"/>
    </xf>
    <xf numFmtId="0" fontId="17" fillId="20" borderId="13" xfId="0" applyFont="1" applyFill="1" applyBorder="1" applyAlignment="1">
      <alignment horizontal="center" vertical="center" wrapText="1"/>
    </xf>
    <xf numFmtId="0" fontId="17" fillId="20" borderId="14" xfId="0" applyFont="1" applyFill="1" applyBorder="1" applyAlignment="1">
      <alignment horizontal="center" vertical="center" wrapText="1"/>
    </xf>
    <xf numFmtId="0" fontId="0" fillId="34" borderId="0" xfId="0" applyFill="1"/>
    <xf numFmtId="0" fontId="0" fillId="0" borderId="0" xfId="0" quotePrefix="1"/>
    <xf numFmtId="0" fontId="18" fillId="27" borderId="19" xfId="0" applyFont="1" applyFill="1" applyBorder="1" applyAlignment="1">
      <alignment horizontal="center"/>
    </xf>
    <xf numFmtId="0" fontId="18" fillId="27" borderId="0" xfId="0" applyFont="1" applyFill="1" applyAlignment="1">
      <alignment horizontal="center"/>
    </xf>
    <xf numFmtId="0" fontId="18" fillId="23" borderId="19" xfId="0" applyFont="1" applyFill="1" applyBorder="1" applyAlignment="1">
      <alignment horizontal="center"/>
    </xf>
    <xf numFmtId="0" fontId="18" fillId="23" borderId="0" xfId="0" applyFont="1" applyFill="1" applyAlignment="1">
      <alignment horizontal="center"/>
    </xf>
    <xf numFmtId="0" fontId="27" fillId="24" borderId="1" xfId="0" applyFont="1" applyFill="1" applyBorder="1" applyAlignment="1">
      <alignment horizontal="center"/>
    </xf>
    <xf numFmtId="0" fontId="29" fillId="16" borderId="1" xfId="0" applyFont="1" applyFill="1" applyBorder="1" applyAlignment="1">
      <alignment horizontal="center"/>
    </xf>
    <xf numFmtId="0" fontId="29" fillId="12" borderId="1" xfId="0" applyFont="1" applyFill="1" applyBorder="1" applyAlignment="1">
      <alignment horizontal="center"/>
    </xf>
    <xf numFmtId="0" fontId="29" fillId="20" borderId="1" xfId="0" applyFont="1" applyFill="1" applyBorder="1" applyAlignment="1">
      <alignment horizontal="center"/>
    </xf>
    <xf numFmtId="0" fontId="25" fillId="12" borderId="1" xfId="0" applyFont="1" applyFill="1" applyBorder="1" applyAlignment="1">
      <alignment horizontal="center"/>
    </xf>
    <xf numFmtId="0" fontId="25" fillId="20" borderId="1" xfId="0" applyFont="1" applyFill="1" applyBorder="1" applyAlignment="1">
      <alignment horizontal="center"/>
    </xf>
    <xf numFmtId="0" fontId="29" fillId="12" borderId="2" xfId="0" applyFont="1" applyFill="1" applyBorder="1" applyAlignment="1">
      <alignment horizontal="center"/>
    </xf>
    <xf numFmtId="0" fontId="29" fillId="12" borderId="3" xfId="0" applyFont="1" applyFill="1" applyBorder="1" applyAlignment="1">
      <alignment horizontal="center"/>
    </xf>
    <xf numFmtId="0" fontId="29" fillId="12" borderId="4" xfId="0" applyFont="1" applyFill="1" applyBorder="1" applyAlignment="1">
      <alignment horizontal="center"/>
    </xf>
    <xf numFmtId="0" fontId="37" fillId="13" borderId="1" xfId="0" applyFont="1" applyFill="1" applyBorder="1" applyAlignment="1">
      <alignment horizontal="center"/>
    </xf>
    <xf numFmtId="0" fontId="37" fillId="9" borderId="1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24" fillId="3" borderId="3" xfId="0" applyFont="1" applyFill="1" applyBorder="1" applyAlignment="1">
      <alignment horizontal="center"/>
    </xf>
    <xf numFmtId="0" fontId="24" fillId="3" borderId="4" xfId="0" applyFont="1" applyFill="1" applyBorder="1" applyAlignment="1">
      <alignment horizontal="center"/>
    </xf>
    <xf numFmtId="0" fontId="24" fillId="10" borderId="2" xfId="0" applyFont="1" applyFill="1" applyBorder="1" applyAlignment="1">
      <alignment horizontal="center"/>
    </xf>
    <xf numFmtId="0" fontId="24" fillId="10" borderId="4" xfId="0" applyFont="1" applyFill="1" applyBorder="1" applyAlignment="1">
      <alignment horizontal="center"/>
    </xf>
    <xf numFmtId="0" fontId="29" fillId="4" borderId="5" xfId="0" applyFont="1" applyFill="1" applyBorder="1" applyAlignment="1">
      <alignment horizontal="center"/>
    </xf>
    <xf numFmtId="0" fontId="29" fillId="27" borderId="2" xfId="0" applyFont="1" applyFill="1" applyBorder="1" applyAlignment="1">
      <alignment horizontal="center"/>
    </xf>
    <xf numFmtId="0" fontId="29" fillId="27" borderId="3" xfId="0" applyFont="1" applyFill="1" applyBorder="1" applyAlignment="1">
      <alignment horizontal="center"/>
    </xf>
    <xf numFmtId="0" fontId="29" fillId="27" borderId="4" xfId="0" applyFont="1" applyFill="1" applyBorder="1" applyAlignment="1">
      <alignment horizontal="center"/>
    </xf>
    <xf numFmtId="0" fontId="29" fillId="20" borderId="2" xfId="0" applyFont="1" applyFill="1" applyBorder="1" applyAlignment="1">
      <alignment horizontal="center"/>
    </xf>
    <xf numFmtId="0" fontId="29" fillId="20" borderId="3" xfId="0" applyFont="1" applyFill="1" applyBorder="1" applyAlignment="1">
      <alignment horizontal="center"/>
    </xf>
    <xf numFmtId="0" fontId="29" fillId="20" borderId="4" xfId="0" applyFont="1" applyFill="1" applyBorder="1" applyAlignment="1">
      <alignment horizontal="center"/>
    </xf>
    <xf numFmtId="0" fontId="29" fillId="27" borderId="1" xfId="0" applyFont="1" applyFill="1" applyBorder="1" applyAlignment="1">
      <alignment horizontal="center"/>
    </xf>
    <xf numFmtId="0" fontId="33" fillId="27" borderId="1" xfId="0" applyFont="1" applyFill="1" applyBorder="1" applyAlignment="1">
      <alignment horizontal="center"/>
    </xf>
    <xf numFmtId="0" fontId="29" fillId="23" borderId="1" xfId="0" applyFont="1" applyFill="1" applyBorder="1" applyAlignment="1">
      <alignment horizontal="center"/>
    </xf>
    <xf numFmtId="0" fontId="29" fillId="4" borderId="1" xfId="0" applyFont="1" applyFill="1" applyBorder="1" applyAlignment="1">
      <alignment horizontal="center"/>
    </xf>
    <xf numFmtId="0" fontId="29" fillId="32" borderId="1" xfId="0" applyFont="1" applyFill="1" applyBorder="1" applyAlignment="1">
      <alignment horizontal="center"/>
    </xf>
    <xf numFmtId="0" fontId="34" fillId="29" borderId="0" xfId="0" applyFont="1" applyFill="1" applyAlignment="1">
      <alignment horizontal="center" vertical="center"/>
    </xf>
    <xf numFmtId="0" fontId="29" fillId="28" borderId="0" xfId="0" applyFont="1" applyFill="1" applyAlignment="1">
      <alignment horizontal="center" vertical="center"/>
    </xf>
  </cellXfs>
  <cellStyles count="1">
    <cellStyle name="Normal" xfId="0" builtinId="0"/>
  </cellStyles>
  <dxfs count="96"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  <color theme="1"/>
      </font>
      <fill>
        <patternFill>
          <bgColor rgb="FF00FF00"/>
        </patternFill>
      </fill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png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97971</xdr:colOff>
      <xdr:row>0</xdr:row>
      <xdr:rowOff>65314</xdr:rowOff>
    </xdr:from>
    <xdr:to>
      <xdr:col>0</xdr:col>
      <xdr:colOff>1654629</xdr:colOff>
      <xdr:row>1</xdr:row>
      <xdr:rowOff>174171</xdr:rowOff>
    </xdr:to>
    <xdr:sp macro="[0]!ImportarDadosOfensivosCompleto" textlink="">
      <xdr:nvSpPr>
        <xdr:cNvPr id="3" name="Retângulo 2">
          <a:extLst>
            <a:ext uri="{FF2B5EF4-FFF2-40B4-BE49-F238E27FC236}">
              <a16:creationId xmlns:a16="http://schemas.microsoft.com/office/drawing/2014/main" id="{812AE3E6-0E83-D5FC-D282-F7EDA2659C0D}"/>
            </a:ext>
          </a:extLst>
        </xdr:cNvPr>
        <xdr:cNvSpPr/>
      </xdr:nvSpPr>
      <xdr:spPr>
        <a:xfrm>
          <a:off x="97971" y="65314"/>
          <a:ext cx="1556658" cy="304800"/>
        </a:xfrm>
        <a:prstGeom prst="rect">
          <a:avLst/>
        </a:prstGeom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IMPORTAR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DADOS</a:t>
          </a:r>
        </a:p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44824</xdr:colOff>
      <xdr:row>0</xdr:row>
      <xdr:rowOff>44824</xdr:rowOff>
    </xdr:from>
    <xdr:to>
      <xdr:col>0</xdr:col>
      <xdr:colOff>1676400</xdr:colOff>
      <xdr:row>1</xdr:row>
      <xdr:rowOff>188258</xdr:rowOff>
    </xdr:to>
    <xdr:sp macro="[0]!ImportarDadosDefensivosCompleto" textlink="">
      <xdr:nvSpPr>
        <xdr:cNvPr id="2" name="Retângulo 1">
          <a:extLst>
            <a:ext uri="{FF2B5EF4-FFF2-40B4-BE49-F238E27FC236}">
              <a16:creationId xmlns:a16="http://schemas.microsoft.com/office/drawing/2014/main" id="{2C729964-2A27-252D-3E76-505F74722A10}"/>
            </a:ext>
          </a:extLst>
        </xdr:cNvPr>
        <xdr:cNvSpPr/>
      </xdr:nvSpPr>
      <xdr:spPr>
        <a:xfrm>
          <a:off x="44824" y="44824"/>
          <a:ext cx="1631576" cy="340658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IMPORTAR DADOS</a:t>
          </a:r>
        </a:p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'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21</xdr:row>
      <xdr:rowOff>60960</xdr:rowOff>
    </xdr:from>
    <xdr:to>
      <xdr:col>13</xdr:col>
      <xdr:colOff>525780</xdr:colOff>
      <xdr:row>23</xdr:row>
      <xdr:rowOff>7620</xdr:rowOff>
    </xdr:to>
    <xdr:sp macro="[0]!AtualizarClassificacoe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BFAB43B2-41F2-4DE8-A42A-0890440FA2D1}"/>
            </a:ext>
          </a:extLst>
        </xdr:cNvPr>
        <xdr:cNvSpPr/>
      </xdr:nvSpPr>
      <xdr:spPr>
        <a:xfrm>
          <a:off x="6896100" y="3916680"/>
          <a:ext cx="2110740" cy="312420"/>
        </a:xfrm>
        <a:prstGeom prst="roundRect">
          <a:avLst/>
        </a:prstGeom>
        <a:solidFill>
          <a:schemeClr val="bg2">
            <a:lumMod val="2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latin typeface="Avenir Next LT Pro" panose="020B0504020202020204" pitchFamily="34" charset="0"/>
            </a:rPr>
            <a:t>CLASSIFICAR</a:t>
          </a:r>
        </a:p>
        <a:p>
          <a:pPr algn="ctr"/>
          <a:endParaRPr lang="pt-BR" sz="1100" b="1">
            <a:latin typeface="Avenir Next LT Pro" panose="020B05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</xdr:colOff>
      <xdr:row>19</xdr:row>
      <xdr:rowOff>144780</xdr:rowOff>
    </xdr:from>
    <xdr:to>
      <xdr:col>18</xdr:col>
      <xdr:colOff>7620</xdr:colOff>
      <xdr:row>22</xdr:row>
      <xdr:rowOff>0</xdr:rowOff>
    </xdr:to>
    <xdr:sp macro="[0]!AtualizarMomentosOfensivos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AB19B11-CDA2-407A-99B4-25A3FD3B9D52}"/>
            </a:ext>
          </a:extLst>
        </xdr:cNvPr>
        <xdr:cNvSpPr/>
      </xdr:nvSpPr>
      <xdr:spPr>
        <a:xfrm>
          <a:off x="4709160" y="3634740"/>
          <a:ext cx="7078980" cy="40386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2000" b="1">
              <a:latin typeface="Avenir Next LT Pro" panose="020B0504020202020204" pitchFamily="34" charset="0"/>
            </a:rPr>
            <a:t>CLASSIFICAR</a:t>
          </a:r>
          <a:r>
            <a:rPr lang="pt-BR" sz="2000" b="1" baseline="0">
              <a:latin typeface="Avenir Next LT Pro" panose="020B0504020202020204" pitchFamily="34" charset="0"/>
            </a:rPr>
            <a:t> POR MOMENTO DO JOGO</a:t>
          </a:r>
          <a:endParaRPr lang="pt-BR" sz="2000" b="1">
            <a:latin typeface="Avenir Next LT Pro" panose="020B05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19</xdr:row>
      <xdr:rowOff>114300</xdr:rowOff>
    </xdr:from>
    <xdr:to>
      <xdr:col>17</xdr:col>
      <xdr:colOff>586740</xdr:colOff>
      <xdr:row>21</xdr:row>
      <xdr:rowOff>129540</xdr:rowOff>
    </xdr:to>
    <xdr:sp macro="[0]!AtualizarMomentosDefensivos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87DFFCE-A911-43AE-B67E-F66FCBF93275}"/>
            </a:ext>
          </a:extLst>
        </xdr:cNvPr>
        <xdr:cNvSpPr/>
      </xdr:nvSpPr>
      <xdr:spPr>
        <a:xfrm>
          <a:off x="4663440" y="3604260"/>
          <a:ext cx="7094220" cy="381000"/>
        </a:xfrm>
        <a:prstGeom prst="roundRect">
          <a:avLst/>
        </a:prstGeom>
        <a:solidFill>
          <a:schemeClr val="accent2">
            <a:lumMod val="5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2000" b="1">
              <a:latin typeface="Avenir Next LT Pro" panose="020B0504020202020204" pitchFamily="34" charset="0"/>
            </a:rPr>
            <a:t>CLASSIFICAR</a:t>
          </a:r>
          <a:r>
            <a:rPr lang="pt-BR" sz="2000" b="1" baseline="0">
              <a:latin typeface="Avenir Next LT Pro" panose="020B0504020202020204" pitchFamily="34" charset="0"/>
            </a:rPr>
            <a:t> POR MOMENTO DO JOGO</a:t>
          </a:r>
          <a:endParaRPr lang="pt-BR" sz="2000" b="1">
            <a:latin typeface="Avenir Next LT Pro" panose="020B05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</xdr:colOff>
      <xdr:row>1</xdr:row>
      <xdr:rowOff>137160</xdr:rowOff>
    </xdr:from>
    <xdr:to>
      <xdr:col>10</xdr:col>
      <xdr:colOff>556260</xdr:colOff>
      <xdr:row>5</xdr:row>
      <xdr:rowOff>83820</xdr:rowOff>
    </xdr:to>
    <xdr:sp macro="[0]!AtualizarClassificacaoTecnic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A0F7A5-DE45-D383-8D26-F77DCAB1A413}"/>
            </a:ext>
          </a:extLst>
        </xdr:cNvPr>
        <xdr:cNvSpPr/>
      </xdr:nvSpPr>
      <xdr:spPr>
        <a:xfrm>
          <a:off x="6233160" y="335280"/>
          <a:ext cx="1143000" cy="67818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1050" b="1">
              <a:latin typeface="Avenir Next LT Pro" panose="020B0504020202020204" pitchFamily="34" charset="0"/>
            </a:rPr>
            <a:t>CLASSIFICAR</a:t>
          </a:r>
          <a:r>
            <a:rPr lang="pt-BR" sz="1050" b="1" baseline="0">
              <a:latin typeface="Avenir Next LT Pro" panose="020B0504020202020204" pitchFamily="34" charset="0"/>
            </a:rPr>
            <a:t> POR ÍNDICES TÉCNICOS</a:t>
          </a:r>
          <a:endParaRPr lang="pt-BR" sz="1050" b="1">
            <a:latin typeface="Avenir Next LT Pro" panose="020B0504020202020204" pitchFamily="34" charset="0"/>
          </a:endParaRPr>
        </a:p>
      </xdr:txBody>
    </xdr:sp>
    <xdr:clientData/>
  </xdr:twoCellAnchor>
  <xdr:twoCellAnchor>
    <xdr:from>
      <xdr:col>9</xdr:col>
      <xdr:colOff>38100</xdr:colOff>
      <xdr:row>21</xdr:row>
      <xdr:rowOff>0</xdr:rowOff>
    </xdr:from>
    <xdr:to>
      <xdr:col>10</xdr:col>
      <xdr:colOff>571500</xdr:colOff>
      <xdr:row>25</xdr:row>
      <xdr:rowOff>114300</xdr:rowOff>
    </xdr:to>
    <xdr:sp macro="[0]!AtualizarModeloTaticoFina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0109B09-403C-4A99-A7C9-3FD04869F1F8}"/>
            </a:ext>
          </a:extLst>
        </xdr:cNvPr>
        <xdr:cNvSpPr/>
      </xdr:nvSpPr>
      <xdr:spPr>
        <a:xfrm>
          <a:off x="6248400" y="3840480"/>
          <a:ext cx="1143000" cy="86106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1050" b="1">
              <a:latin typeface="Avenir Next LT Pro" panose="020B0504020202020204" pitchFamily="34" charset="0"/>
            </a:rPr>
            <a:t>CLASSIFICAR</a:t>
          </a:r>
          <a:r>
            <a:rPr lang="pt-BR" sz="1050" b="1" baseline="0">
              <a:latin typeface="Avenir Next LT Pro" panose="020B0504020202020204" pitchFamily="34" charset="0"/>
            </a:rPr>
            <a:t> POR ÍNDICES TÁTICOS DE MODELO</a:t>
          </a:r>
          <a:endParaRPr lang="pt-BR" sz="1050" b="1">
            <a:latin typeface="Avenir Next LT Pro" panose="020B0504020202020204" pitchFamily="34" charset="0"/>
          </a:endParaRPr>
        </a:p>
      </xdr:txBody>
    </xdr:sp>
    <xdr:clientData/>
  </xdr:twoCellAnchor>
  <xdr:twoCellAnchor>
    <xdr:from>
      <xdr:col>9</xdr:col>
      <xdr:colOff>38100</xdr:colOff>
      <xdr:row>42</xdr:row>
      <xdr:rowOff>22860</xdr:rowOff>
    </xdr:from>
    <xdr:to>
      <xdr:col>10</xdr:col>
      <xdr:colOff>571500</xdr:colOff>
      <xdr:row>47</xdr:row>
      <xdr:rowOff>15240</xdr:rowOff>
    </xdr:to>
    <xdr:sp macro="[0]!AtualizarTransicaoOfensivaFinal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0E66C35-90FA-404E-9420-703CC8F10938}"/>
            </a:ext>
          </a:extLst>
        </xdr:cNvPr>
        <xdr:cNvSpPr/>
      </xdr:nvSpPr>
      <xdr:spPr>
        <a:xfrm>
          <a:off x="6248400" y="7719060"/>
          <a:ext cx="1143000" cy="90678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1050" b="1">
              <a:latin typeface="Avenir Next LT Pro" panose="020B0504020202020204" pitchFamily="34" charset="0"/>
            </a:rPr>
            <a:t>CLASSIFICAR</a:t>
          </a:r>
          <a:r>
            <a:rPr lang="pt-BR" sz="1050" b="1" baseline="0">
              <a:latin typeface="Avenir Next LT Pro" panose="020B0504020202020204" pitchFamily="34" charset="0"/>
            </a:rPr>
            <a:t> POR ÍNDICES DE TRANSIÇÃO</a:t>
          </a:r>
          <a:endParaRPr lang="pt-BR" sz="1050" b="1">
            <a:latin typeface="Avenir Next LT Pro" panose="020B05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</xdr:colOff>
      <xdr:row>1</xdr:row>
      <xdr:rowOff>137160</xdr:rowOff>
    </xdr:from>
    <xdr:to>
      <xdr:col>9</xdr:col>
      <xdr:colOff>556260</xdr:colOff>
      <xdr:row>5</xdr:row>
      <xdr:rowOff>83820</xdr:rowOff>
    </xdr:to>
    <xdr:sp macro="[0]!AtualizarIndicesTecDefensiv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165BCE6-2906-4069-BDDE-A30A5B1103B0}"/>
            </a:ext>
          </a:extLst>
        </xdr:cNvPr>
        <xdr:cNvSpPr/>
      </xdr:nvSpPr>
      <xdr:spPr>
        <a:xfrm>
          <a:off x="6233160" y="335280"/>
          <a:ext cx="1143000" cy="678180"/>
        </a:xfrm>
        <a:prstGeom prst="roundRect">
          <a:avLst/>
        </a:prstGeom>
        <a:solidFill>
          <a:schemeClr val="accent2">
            <a:lumMod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1050" b="1">
              <a:latin typeface="Avenir Next LT Pro" panose="020B0504020202020204" pitchFamily="34" charset="0"/>
            </a:rPr>
            <a:t>CLASSIFICAR</a:t>
          </a:r>
          <a:r>
            <a:rPr lang="pt-BR" sz="1050" b="1" baseline="0">
              <a:latin typeface="Avenir Next LT Pro" panose="020B0504020202020204" pitchFamily="34" charset="0"/>
            </a:rPr>
            <a:t> POR ÍNDICES TÉCNICOS</a:t>
          </a:r>
          <a:endParaRPr lang="pt-BR" sz="1050" b="1">
            <a:latin typeface="Avenir Next LT Pro" panose="020B0504020202020204" pitchFamily="34" charset="0"/>
          </a:endParaRPr>
        </a:p>
      </xdr:txBody>
    </xdr:sp>
    <xdr:clientData/>
  </xdr:twoCellAnchor>
  <xdr:twoCellAnchor>
    <xdr:from>
      <xdr:col>8</xdr:col>
      <xdr:colOff>38100</xdr:colOff>
      <xdr:row>20</xdr:row>
      <xdr:rowOff>167640</xdr:rowOff>
    </xdr:from>
    <xdr:to>
      <xdr:col>9</xdr:col>
      <xdr:colOff>571500</xdr:colOff>
      <xdr:row>25</xdr:row>
      <xdr:rowOff>114300</xdr:rowOff>
    </xdr:to>
    <xdr:sp macro="[0]!AtualizarIndicesTATDeMode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A7A460D-E3AE-4B74-9FD9-B355D67BF7C2}"/>
            </a:ext>
          </a:extLst>
        </xdr:cNvPr>
        <xdr:cNvSpPr/>
      </xdr:nvSpPr>
      <xdr:spPr>
        <a:xfrm>
          <a:off x="6248400" y="3840480"/>
          <a:ext cx="1143000" cy="861060"/>
        </a:xfrm>
        <a:prstGeom prst="roundRect">
          <a:avLst/>
        </a:prstGeom>
        <a:solidFill>
          <a:schemeClr val="accent2">
            <a:lumMod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1050" b="1">
              <a:latin typeface="Avenir Next LT Pro" panose="020B0504020202020204" pitchFamily="34" charset="0"/>
            </a:rPr>
            <a:t>CLASSIFICAR</a:t>
          </a:r>
          <a:r>
            <a:rPr lang="pt-BR" sz="1050" b="1" baseline="0">
              <a:latin typeface="Avenir Next LT Pro" panose="020B0504020202020204" pitchFamily="34" charset="0"/>
            </a:rPr>
            <a:t> POR ÍNDICES TÁTICOS DE MODELO</a:t>
          </a:r>
          <a:endParaRPr lang="pt-BR" sz="1050" b="1">
            <a:latin typeface="Avenir Next LT Pro" panose="020B0504020202020204" pitchFamily="34" charset="0"/>
          </a:endParaRPr>
        </a:p>
      </xdr:txBody>
    </xdr:sp>
    <xdr:clientData/>
  </xdr:twoCellAnchor>
  <xdr:twoCellAnchor>
    <xdr:from>
      <xdr:col>8</xdr:col>
      <xdr:colOff>38100</xdr:colOff>
      <xdr:row>42</xdr:row>
      <xdr:rowOff>22860</xdr:rowOff>
    </xdr:from>
    <xdr:to>
      <xdr:col>9</xdr:col>
      <xdr:colOff>571500</xdr:colOff>
      <xdr:row>47</xdr:row>
      <xdr:rowOff>15240</xdr:rowOff>
    </xdr:to>
    <xdr:sp macro="[0]!AtualizarIndicesTran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2FA03D5-A498-4DFA-A9C3-9AA4B6785D27}"/>
            </a:ext>
          </a:extLst>
        </xdr:cNvPr>
        <xdr:cNvSpPr/>
      </xdr:nvSpPr>
      <xdr:spPr>
        <a:xfrm>
          <a:off x="6248400" y="7719060"/>
          <a:ext cx="1143000" cy="906780"/>
        </a:xfrm>
        <a:prstGeom prst="roundRect">
          <a:avLst/>
        </a:prstGeom>
        <a:solidFill>
          <a:schemeClr val="accent2">
            <a:lumMod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1050" b="1">
              <a:latin typeface="Avenir Next LT Pro" panose="020B0504020202020204" pitchFamily="34" charset="0"/>
            </a:rPr>
            <a:t>CLASSIFICAR</a:t>
          </a:r>
          <a:r>
            <a:rPr lang="pt-BR" sz="1050" b="1" baseline="0">
              <a:latin typeface="Avenir Next LT Pro" panose="020B0504020202020204" pitchFamily="34" charset="0"/>
            </a:rPr>
            <a:t> POR ÍNDICES DE TRANSIÇÃO</a:t>
          </a:r>
          <a:endParaRPr lang="pt-BR" sz="1050" b="1">
            <a:latin typeface="Avenir Next LT Pro" panose="020B05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</xdr:colOff>
      <xdr:row>1</xdr:row>
      <xdr:rowOff>137160</xdr:rowOff>
    </xdr:from>
    <xdr:to>
      <xdr:col>6</xdr:col>
      <xdr:colOff>556260</xdr:colOff>
      <xdr:row>5</xdr:row>
      <xdr:rowOff>83820</xdr:rowOff>
    </xdr:to>
    <xdr:sp macro="[0]!AtualizarIndicesGerai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1E8FFB5-F783-401E-8ECF-F5F7D6D654E0}"/>
            </a:ext>
          </a:extLst>
        </xdr:cNvPr>
        <xdr:cNvSpPr/>
      </xdr:nvSpPr>
      <xdr:spPr>
        <a:xfrm>
          <a:off x="5821680" y="335280"/>
          <a:ext cx="1143000" cy="678180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1050" b="1">
              <a:latin typeface="Avenir Next LT Pro" panose="020B0504020202020204" pitchFamily="34" charset="0"/>
            </a:rPr>
            <a:t>CLASSIFICAR</a:t>
          </a:r>
          <a:r>
            <a:rPr lang="pt-BR" sz="1050" b="1" baseline="0">
              <a:latin typeface="Avenir Next LT Pro" panose="020B0504020202020204" pitchFamily="34" charset="0"/>
            </a:rPr>
            <a:t> POR ÍNDICES GERAIS</a:t>
          </a:r>
          <a:endParaRPr lang="pt-BR" sz="1050" b="1">
            <a:latin typeface="Avenir Next LT Pro" panose="020B05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331694</xdr:colOff>
      <xdr:row>3</xdr:row>
      <xdr:rowOff>277906</xdr:rowOff>
    </xdr:from>
    <xdr:to>
      <xdr:col>18</xdr:col>
      <xdr:colOff>322730</xdr:colOff>
      <xdr:row>5</xdr:row>
      <xdr:rowOff>349623</xdr:rowOff>
    </xdr:to>
    <xdr:sp macro="[0]!GravarPDF_ComAlturaFixa46_Melhorado" textlink="">
      <xdr:nvSpPr>
        <xdr:cNvPr id="3" name="Retângulo 2">
          <a:extLst>
            <a:ext uri="{FF2B5EF4-FFF2-40B4-BE49-F238E27FC236}">
              <a16:creationId xmlns:a16="http://schemas.microsoft.com/office/drawing/2014/main" id="{7B8E6B82-0770-52FE-BF99-3C53084D3362}"/>
            </a:ext>
          </a:extLst>
        </xdr:cNvPr>
        <xdr:cNvSpPr/>
      </xdr:nvSpPr>
      <xdr:spPr>
        <a:xfrm>
          <a:off x="13823576" y="1577788"/>
          <a:ext cx="1819836" cy="788894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 Black" panose="020B0A04020102020204" pitchFamily="34" charset="0"/>
            </a:rPr>
            <a:t>GERAR</a:t>
          </a:r>
          <a:r>
            <a:rPr lang="pt-BR" sz="1400" baseline="0">
              <a:latin typeface="Arial Black" panose="020B0A04020102020204" pitchFamily="34" charset="0"/>
            </a:rPr>
            <a:t> PDF</a:t>
          </a:r>
          <a:endParaRPr lang="pt-BR" sz="1400">
            <a:latin typeface="Arial Black" panose="020B0A040201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138546</xdr:colOff>
      <xdr:row>1</xdr:row>
      <xdr:rowOff>152400</xdr:rowOff>
    </xdr:from>
    <xdr:to>
      <xdr:col>3</xdr:col>
      <xdr:colOff>27710</xdr:colOff>
      <xdr:row>11</xdr:row>
      <xdr:rowOff>69273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FD6F1C8E-6D59-F995-72D2-F10245076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546" y="332509"/>
          <a:ext cx="1717964" cy="1717964"/>
        </a:xfrm>
        <a:prstGeom prst="rect">
          <a:avLst/>
        </a:prstGeom>
      </xdr:spPr>
    </xdr:pic>
    <xdr:clientData/>
  </xdr:twoCellAnchor>
  <xdr:oneCellAnchor>
    <xdr:from>
      <xdr:col>0</xdr:col>
      <xdr:colOff>83127</xdr:colOff>
      <xdr:row>47</xdr:row>
      <xdr:rowOff>0</xdr:rowOff>
    </xdr:from>
    <xdr:ext cx="1717964" cy="1717964"/>
    <xdr:pic>
      <xdr:nvPicPr>
        <xdr:cNvPr id="11394" name="Imagem 11393">
          <a:extLst>
            <a:ext uri="{FF2B5EF4-FFF2-40B4-BE49-F238E27FC236}">
              <a16:creationId xmlns:a16="http://schemas.microsoft.com/office/drawing/2014/main" id="{2E04D6AA-A9D6-4BF2-9B10-E910DE5D5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27" y="8465127"/>
          <a:ext cx="1717964" cy="1717964"/>
        </a:xfrm>
        <a:prstGeom prst="rect">
          <a:avLst/>
        </a:prstGeom>
      </xdr:spPr>
    </xdr:pic>
    <xdr:clientData/>
  </xdr:oneCellAnchor>
  <xdr:oneCellAnchor>
    <xdr:from>
      <xdr:col>0</xdr:col>
      <xdr:colOff>152400</xdr:colOff>
      <xdr:row>92</xdr:row>
      <xdr:rowOff>110836</xdr:rowOff>
    </xdr:from>
    <xdr:ext cx="1717964" cy="1717964"/>
    <xdr:pic>
      <xdr:nvPicPr>
        <xdr:cNvPr id="11395" name="Imagem 11394">
          <a:extLst>
            <a:ext uri="{FF2B5EF4-FFF2-40B4-BE49-F238E27FC236}">
              <a16:creationId xmlns:a16="http://schemas.microsoft.com/office/drawing/2014/main" id="{83F0D90A-0E2F-4C37-AD3B-A49165EE2A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6680872"/>
          <a:ext cx="1717964" cy="1717964"/>
        </a:xfrm>
        <a:prstGeom prst="rect">
          <a:avLst/>
        </a:prstGeom>
      </xdr:spPr>
    </xdr:pic>
    <xdr:clientData/>
  </xdr:oneCellAnchor>
  <xdr:oneCellAnchor>
    <xdr:from>
      <xdr:col>10</xdr:col>
      <xdr:colOff>374073</xdr:colOff>
      <xdr:row>1</xdr:row>
      <xdr:rowOff>166254</xdr:rowOff>
    </xdr:from>
    <xdr:ext cx="1717964" cy="1717964"/>
    <xdr:pic>
      <xdr:nvPicPr>
        <xdr:cNvPr id="11397" name="Imagem 11396">
          <a:extLst>
            <a:ext uri="{FF2B5EF4-FFF2-40B4-BE49-F238E27FC236}">
              <a16:creationId xmlns:a16="http://schemas.microsoft.com/office/drawing/2014/main" id="{C1337B9C-F7AB-40A4-A442-AA6784B3E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0073" y="346363"/>
          <a:ext cx="1717964" cy="1717964"/>
        </a:xfrm>
        <a:prstGeom prst="rect">
          <a:avLst/>
        </a:prstGeom>
      </xdr:spPr>
    </xdr:pic>
    <xdr:clientData/>
  </xdr:oneCellAnchor>
  <xdr:oneCellAnchor>
    <xdr:from>
      <xdr:col>10</xdr:col>
      <xdr:colOff>235527</xdr:colOff>
      <xdr:row>47</xdr:row>
      <xdr:rowOff>124691</xdr:rowOff>
    </xdr:from>
    <xdr:ext cx="1717964" cy="1717964"/>
    <xdr:pic>
      <xdr:nvPicPr>
        <xdr:cNvPr id="11398" name="Imagem 11397">
          <a:extLst>
            <a:ext uri="{FF2B5EF4-FFF2-40B4-BE49-F238E27FC236}">
              <a16:creationId xmlns:a16="http://schemas.microsoft.com/office/drawing/2014/main" id="{9D62B7FA-B40A-45AA-B552-843396F26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1527" y="8589818"/>
          <a:ext cx="1717964" cy="1717964"/>
        </a:xfrm>
        <a:prstGeom prst="rect">
          <a:avLst/>
        </a:prstGeom>
      </xdr:spPr>
    </xdr:pic>
    <xdr:clientData/>
  </xdr:oneCellAnchor>
  <xdr:oneCellAnchor>
    <xdr:from>
      <xdr:col>10</xdr:col>
      <xdr:colOff>124691</xdr:colOff>
      <xdr:row>92</xdr:row>
      <xdr:rowOff>96982</xdr:rowOff>
    </xdr:from>
    <xdr:ext cx="1717964" cy="1717964"/>
    <xdr:pic>
      <xdr:nvPicPr>
        <xdr:cNvPr id="11399" name="Imagem 11398">
          <a:extLst>
            <a:ext uri="{FF2B5EF4-FFF2-40B4-BE49-F238E27FC236}">
              <a16:creationId xmlns:a16="http://schemas.microsoft.com/office/drawing/2014/main" id="{C49DED46-D6D2-4BFC-B684-A93A18FF6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0691" y="16667018"/>
          <a:ext cx="1717964" cy="1717964"/>
        </a:xfrm>
        <a:prstGeom prst="rect">
          <a:avLst/>
        </a:prstGeom>
      </xdr:spPr>
    </xdr:pic>
    <xdr:clientData/>
  </xdr:oneCellAnchor>
  <xdr:oneCellAnchor>
    <xdr:from>
      <xdr:col>20</xdr:col>
      <xdr:colOff>235527</xdr:colOff>
      <xdr:row>1</xdr:row>
      <xdr:rowOff>69273</xdr:rowOff>
    </xdr:from>
    <xdr:ext cx="1717964" cy="1717964"/>
    <xdr:pic>
      <xdr:nvPicPr>
        <xdr:cNvPr id="11401" name="Imagem 11400">
          <a:extLst>
            <a:ext uri="{FF2B5EF4-FFF2-40B4-BE49-F238E27FC236}">
              <a16:creationId xmlns:a16="http://schemas.microsoft.com/office/drawing/2014/main" id="{980FE38A-D1B3-46CA-836A-B6ABEC9B67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27527" y="249382"/>
          <a:ext cx="1717964" cy="1717964"/>
        </a:xfrm>
        <a:prstGeom prst="rect">
          <a:avLst/>
        </a:prstGeom>
      </xdr:spPr>
    </xdr:pic>
    <xdr:clientData/>
  </xdr:oneCellAnchor>
  <xdr:oneCellAnchor>
    <xdr:from>
      <xdr:col>20</xdr:col>
      <xdr:colOff>246611</xdr:colOff>
      <xdr:row>47</xdr:row>
      <xdr:rowOff>116378</xdr:rowOff>
    </xdr:from>
    <xdr:ext cx="1717964" cy="1717964"/>
    <xdr:pic>
      <xdr:nvPicPr>
        <xdr:cNvPr id="11402" name="Imagem 11401">
          <a:extLst>
            <a:ext uri="{FF2B5EF4-FFF2-40B4-BE49-F238E27FC236}">
              <a16:creationId xmlns:a16="http://schemas.microsoft.com/office/drawing/2014/main" id="{6FBFF226-2A26-4908-89A0-89A8F01BA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38611" y="8711738"/>
          <a:ext cx="1717964" cy="1717964"/>
        </a:xfrm>
        <a:prstGeom prst="rect">
          <a:avLst/>
        </a:prstGeom>
      </xdr:spPr>
    </xdr:pic>
    <xdr:clientData/>
  </xdr:oneCellAnchor>
  <xdr:oneCellAnchor>
    <xdr:from>
      <xdr:col>20</xdr:col>
      <xdr:colOff>332509</xdr:colOff>
      <xdr:row>92</xdr:row>
      <xdr:rowOff>166254</xdr:rowOff>
    </xdr:from>
    <xdr:ext cx="1717964" cy="1717964"/>
    <xdr:pic>
      <xdr:nvPicPr>
        <xdr:cNvPr id="11403" name="Imagem 11402">
          <a:extLst>
            <a:ext uri="{FF2B5EF4-FFF2-40B4-BE49-F238E27FC236}">
              <a16:creationId xmlns:a16="http://schemas.microsoft.com/office/drawing/2014/main" id="{9FCFB5F7-9840-41C7-A9C2-A8CAEDDA0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24509" y="16736290"/>
          <a:ext cx="1717964" cy="1717964"/>
        </a:xfrm>
        <a:prstGeom prst="rect">
          <a:avLst/>
        </a:prstGeom>
      </xdr:spPr>
    </xdr:pic>
    <xdr:clientData/>
  </xdr:oneCellAnchor>
  <xdr:oneCellAnchor>
    <xdr:from>
      <xdr:col>20</xdr:col>
      <xdr:colOff>171450</xdr:colOff>
      <xdr:row>138</xdr:row>
      <xdr:rowOff>133350</xdr:rowOff>
    </xdr:from>
    <xdr:ext cx="1717964" cy="1717964"/>
    <xdr:pic>
      <xdr:nvPicPr>
        <xdr:cNvPr id="11404" name="Imagem 11403">
          <a:extLst>
            <a:ext uri="{FF2B5EF4-FFF2-40B4-BE49-F238E27FC236}">
              <a16:creationId xmlns:a16="http://schemas.microsoft.com/office/drawing/2014/main" id="{801AB71B-BAAB-4A52-BC2D-4CC8ACF11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63450" y="26422350"/>
          <a:ext cx="1717964" cy="1717964"/>
        </a:xfrm>
        <a:prstGeom prst="rect">
          <a:avLst/>
        </a:prstGeom>
      </xdr:spPr>
    </xdr:pic>
    <xdr:clientData/>
  </xdr:oneCellAnchor>
  <xdr:oneCellAnchor>
    <xdr:from>
      <xdr:col>30</xdr:col>
      <xdr:colOff>207819</xdr:colOff>
      <xdr:row>1</xdr:row>
      <xdr:rowOff>96982</xdr:rowOff>
    </xdr:from>
    <xdr:ext cx="1717964" cy="1717964"/>
    <xdr:pic>
      <xdr:nvPicPr>
        <xdr:cNvPr id="11405" name="Imagem 11404">
          <a:extLst>
            <a:ext uri="{FF2B5EF4-FFF2-40B4-BE49-F238E27FC236}">
              <a16:creationId xmlns:a16="http://schemas.microsoft.com/office/drawing/2014/main" id="{667071EB-A176-424A-8FF3-30322BB8FE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95819" y="277091"/>
          <a:ext cx="1717964" cy="1717964"/>
        </a:xfrm>
        <a:prstGeom prst="rect">
          <a:avLst/>
        </a:prstGeom>
      </xdr:spPr>
    </xdr:pic>
    <xdr:clientData/>
  </xdr:oneCellAnchor>
  <xdr:oneCellAnchor>
    <xdr:from>
      <xdr:col>30</xdr:col>
      <xdr:colOff>193964</xdr:colOff>
      <xdr:row>48</xdr:row>
      <xdr:rowOff>0</xdr:rowOff>
    </xdr:from>
    <xdr:ext cx="1717964" cy="1717964"/>
    <xdr:pic>
      <xdr:nvPicPr>
        <xdr:cNvPr id="11406" name="Imagem 11405">
          <a:extLst>
            <a:ext uri="{FF2B5EF4-FFF2-40B4-BE49-F238E27FC236}">
              <a16:creationId xmlns:a16="http://schemas.microsoft.com/office/drawing/2014/main" id="{23A6ADE5-767E-4F3A-AAF4-B42FF075ED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81964" y="8645236"/>
          <a:ext cx="1717964" cy="1717964"/>
        </a:xfrm>
        <a:prstGeom prst="rect">
          <a:avLst/>
        </a:prstGeom>
      </xdr:spPr>
    </xdr:pic>
    <xdr:clientData/>
  </xdr:oneCellAnchor>
  <xdr:oneCellAnchor>
    <xdr:from>
      <xdr:col>30</xdr:col>
      <xdr:colOff>178378</xdr:colOff>
      <xdr:row>139</xdr:row>
      <xdr:rowOff>25977</xdr:rowOff>
    </xdr:from>
    <xdr:ext cx="1717964" cy="1717964"/>
    <xdr:pic>
      <xdr:nvPicPr>
        <xdr:cNvPr id="11408" name="Imagem 11407">
          <a:extLst>
            <a:ext uri="{FF2B5EF4-FFF2-40B4-BE49-F238E27FC236}">
              <a16:creationId xmlns:a16="http://schemas.microsoft.com/office/drawing/2014/main" id="{87F8645F-36A3-4677-8874-468EEBBC7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66378" y="25061141"/>
          <a:ext cx="1717964" cy="1717964"/>
        </a:xfrm>
        <a:prstGeom prst="rect">
          <a:avLst/>
        </a:prstGeom>
      </xdr:spPr>
    </xdr:pic>
    <xdr:clientData/>
  </xdr:oneCellAnchor>
  <xdr:oneCellAnchor>
    <xdr:from>
      <xdr:col>0</xdr:col>
      <xdr:colOff>178378</xdr:colOff>
      <xdr:row>139</xdr:row>
      <xdr:rowOff>25977</xdr:rowOff>
    </xdr:from>
    <xdr:ext cx="1717964" cy="1717964"/>
    <xdr:pic>
      <xdr:nvPicPr>
        <xdr:cNvPr id="11457" name="Imagem 11456">
          <a:extLst>
            <a:ext uri="{FF2B5EF4-FFF2-40B4-BE49-F238E27FC236}">
              <a16:creationId xmlns:a16="http://schemas.microsoft.com/office/drawing/2014/main" id="{6B2D6037-907D-4956-8CA7-7061D5CDC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66378" y="25061141"/>
          <a:ext cx="1717964" cy="1717964"/>
        </a:xfrm>
        <a:prstGeom prst="rect">
          <a:avLst/>
        </a:prstGeom>
      </xdr:spPr>
    </xdr:pic>
    <xdr:clientData/>
  </xdr:oneCellAnchor>
  <xdr:oneCellAnchor>
    <xdr:from>
      <xdr:col>10</xdr:col>
      <xdr:colOff>178378</xdr:colOff>
      <xdr:row>139</xdr:row>
      <xdr:rowOff>25977</xdr:rowOff>
    </xdr:from>
    <xdr:ext cx="1717964" cy="1717964"/>
    <xdr:pic>
      <xdr:nvPicPr>
        <xdr:cNvPr id="11458" name="Imagem 11457">
          <a:extLst>
            <a:ext uri="{FF2B5EF4-FFF2-40B4-BE49-F238E27FC236}">
              <a16:creationId xmlns:a16="http://schemas.microsoft.com/office/drawing/2014/main" id="{509A2468-8325-4628-8CF2-030ABB277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66378" y="25061141"/>
          <a:ext cx="1717964" cy="1717964"/>
        </a:xfrm>
        <a:prstGeom prst="rect">
          <a:avLst/>
        </a:prstGeom>
      </xdr:spPr>
    </xdr:pic>
    <xdr:clientData/>
  </xdr:oneCellAnchor>
  <xdr:oneCellAnchor>
    <xdr:from>
      <xdr:col>30</xdr:col>
      <xdr:colOff>289214</xdr:colOff>
      <xdr:row>92</xdr:row>
      <xdr:rowOff>150668</xdr:rowOff>
    </xdr:from>
    <xdr:ext cx="1717964" cy="1717964"/>
    <xdr:pic>
      <xdr:nvPicPr>
        <xdr:cNvPr id="11461" name="Imagem 11460">
          <a:extLst>
            <a:ext uri="{FF2B5EF4-FFF2-40B4-BE49-F238E27FC236}">
              <a16:creationId xmlns:a16="http://schemas.microsoft.com/office/drawing/2014/main" id="{8DCE061C-ECF4-4A2E-A1B0-A611895745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77214" y="16720704"/>
          <a:ext cx="1717964" cy="1717964"/>
        </a:xfrm>
        <a:prstGeom prst="rect">
          <a:avLst/>
        </a:prstGeom>
      </xdr:spPr>
    </xdr:pic>
    <xdr:clientData/>
  </xdr:oneCellAnchor>
  <xdr:twoCellAnchor>
    <xdr:from>
      <xdr:col>3</xdr:col>
      <xdr:colOff>165101</xdr:colOff>
      <xdr:row>9</xdr:row>
      <xdr:rowOff>71120</xdr:rowOff>
    </xdr:from>
    <xdr:to>
      <xdr:col>8</xdr:col>
      <xdr:colOff>288352</xdr:colOff>
      <xdr:row>44</xdr:row>
      <xdr:rowOff>20320</xdr:rowOff>
    </xdr:to>
    <xdr:pic>
      <xdr:nvPicPr>
        <xdr:cNvPr id="10305" name="Picture 65">
          <a:extLst>
            <a:ext uri="{FF2B5EF4-FFF2-40B4-BE49-F238E27FC236}">
              <a16:creationId xmlns:a16="http://schemas.microsoft.com/office/drawing/2014/main" id="{47DDD82E-047A-0D97-E913-D5B5B0D661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3901" y="1717040"/>
          <a:ext cx="3171251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165101</xdr:colOff>
      <xdr:row>9</xdr:row>
      <xdr:rowOff>71120</xdr:rowOff>
    </xdr:from>
    <xdr:to>
      <xdr:col>18</xdr:col>
      <xdr:colOff>288352</xdr:colOff>
      <xdr:row>44</xdr:row>
      <xdr:rowOff>20320</xdr:rowOff>
    </xdr:to>
    <xdr:pic>
      <xdr:nvPicPr>
        <xdr:cNvPr id="10306" name="Picture 66">
          <a:extLst>
            <a:ext uri="{FF2B5EF4-FFF2-40B4-BE49-F238E27FC236}">
              <a16:creationId xmlns:a16="http://schemas.microsoft.com/office/drawing/2014/main" id="{4243A4FB-B23F-4558-5320-637E3ECF07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89901" y="1717040"/>
          <a:ext cx="3171251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23</xdr:col>
      <xdr:colOff>165101</xdr:colOff>
      <xdr:row>9</xdr:row>
      <xdr:rowOff>71120</xdr:rowOff>
    </xdr:from>
    <xdr:to>
      <xdr:col>28</xdr:col>
      <xdr:colOff>288352</xdr:colOff>
      <xdr:row>44</xdr:row>
      <xdr:rowOff>20320</xdr:rowOff>
    </xdr:to>
    <xdr:pic>
      <xdr:nvPicPr>
        <xdr:cNvPr id="10307" name="Picture 67">
          <a:extLst>
            <a:ext uri="{FF2B5EF4-FFF2-40B4-BE49-F238E27FC236}">
              <a16:creationId xmlns:a16="http://schemas.microsoft.com/office/drawing/2014/main" id="{3AE81FE1-BDEE-75F9-866F-1DF97BE20F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85901" y="1717040"/>
          <a:ext cx="3171251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33</xdr:col>
      <xdr:colOff>165101</xdr:colOff>
      <xdr:row>9</xdr:row>
      <xdr:rowOff>71120</xdr:rowOff>
    </xdr:from>
    <xdr:to>
      <xdr:col>38</xdr:col>
      <xdr:colOff>288352</xdr:colOff>
      <xdr:row>44</xdr:row>
      <xdr:rowOff>20320</xdr:rowOff>
    </xdr:to>
    <xdr:pic>
      <xdr:nvPicPr>
        <xdr:cNvPr id="10308" name="Picture 68">
          <a:extLst>
            <a:ext uri="{FF2B5EF4-FFF2-40B4-BE49-F238E27FC236}">
              <a16:creationId xmlns:a16="http://schemas.microsoft.com/office/drawing/2014/main" id="{3CFB457E-4924-792C-04C3-DE1737C9AA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1901" y="1717040"/>
          <a:ext cx="3171251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165101</xdr:colOff>
      <xdr:row>55</xdr:row>
      <xdr:rowOff>71120</xdr:rowOff>
    </xdr:from>
    <xdr:to>
      <xdr:col>8</xdr:col>
      <xdr:colOff>288352</xdr:colOff>
      <xdr:row>90</xdr:row>
      <xdr:rowOff>20320</xdr:rowOff>
    </xdr:to>
    <xdr:pic>
      <xdr:nvPicPr>
        <xdr:cNvPr id="10309" name="Picture 69">
          <a:extLst>
            <a:ext uri="{FF2B5EF4-FFF2-40B4-BE49-F238E27FC236}">
              <a16:creationId xmlns:a16="http://schemas.microsoft.com/office/drawing/2014/main" id="{7DF9710E-DA55-26F1-2C85-3739D30FC5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3901" y="10129520"/>
          <a:ext cx="3171251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165101</xdr:colOff>
      <xdr:row>55</xdr:row>
      <xdr:rowOff>71120</xdr:rowOff>
    </xdr:from>
    <xdr:to>
      <xdr:col>18</xdr:col>
      <xdr:colOff>288352</xdr:colOff>
      <xdr:row>90</xdr:row>
      <xdr:rowOff>20320</xdr:rowOff>
    </xdr:to>
    <xdr:pic>
      <xdr:nvPicPr>
        <xdr:cNvPr id="10310" name="Picture 70">
          <a:extLst>
            <a:ext uri="{FF2B5EF4-FFF2-40B4-BE49-F238E27FC236}">
              <a16:creationId xmlns:a16="http://schemas.microsoft.com/office/drawing/2014/main" id="{2B7B1C14-00F7-49D8-B0FE-3249580D68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89901" y="10129520"/>
          <a:ext cx="3171251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23</xdr:col>
      <xdr:colOff>165101</xdr:colOff>
      <xdr:row>55</xdr:row>
      <xdr:rowOff>71120</xdr:rowOff>
    </xdr:from>
    <xdr:to>
      <xdr:col>28</xdr:col>
      <xdr:colOff>288352</xdr:colOff>
      <xdr:row>90</xdr:row>
      <xdr:rowOff>20320</xdr:rowOff>
    </xdr:to>
    <xdr:pic>
      <xdr:nvPicPr>
        <xdr:cNvPr id="10311" name="Picture 71">
          <a:extLst>
            <a:ext uri="{FF2B5EF4-FFF2-40B4-BE49-F238E27FC236}">
              <a16:creationId xmlns:a16="http://schemas.microsoft.com/office/drawing/2014/main" id="{AC9D5AEE-D43E-65E8-CC00-F96F4EEDD1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85901" y="10129520"/>
          <a:ext cx="3171251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33</xdr:col>
      <xdr:colOff>165101</xdr:colOff>
      <xdr:row>55</xdr:row>
      <xdr:rowOff>71120</xdr:rowOff>
    </xdr:from>
    <xdr:to>
      <xdr:col>38</xdr:col>
      <xdr:colOff>288352</xdr:colOff>
      <xdr:row>90</xdr:row>
      <xdr:rowOff>20320</xdr:rowOff>
    </xdr:to>
    <xdr:pic>
      <xdr:nvPicPr>
        <xdr:cNvPr id="10312" name="Picture 72">
          <a:extLst>
            <a:ext uri="{FF2B5EF4-FFF2-40B4-BE49-F238E27FC236}">
              <a16:creationId xmlns:a16="http://schemas.microsoft.com/office/drawing/2014/main" id="{9BBAB9B1-1C0E-7C81-00ED-5C3D3C7241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1901" y="10129520"/>
          <a:ext cx="3171251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165101</xdr:colOff>
      <xdr:row>101</xdr:row>
      <xdr:rowOff>71120</xdr:rowOff>
    </xdr:from>
    <xdr:to>
      <xdr:col>8</xdr:col>
      <xdr:colOff>288352</xdr:colOff>
      <xdr:row>136</xdr:row>
      <xdr:rowOff>20320</xdr:rowOff>
    </xdr:to>
    <xdr:pic>
      <xdr:nvPicPr>
        <xdr:cNvPr id="10313" name="Picture 73">
          <a:extLst>
            <a:ext uri="{FF2B5EF4-FFF2-40B4-BE49-F238E27FC236}">
              <a16:creationId xmlns:a16="http://schemas.microsoft.com/office/drawing/2014/main" id="{6D6D48B2-D349-561A-B712-22A4816340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3901" y="18542000"/>
          <a:ext cx="3171251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165101</xdr:colOff>
      <xdr:row>101</xdr:row>
      <xdr:rowOff>71120</xdr:rowOff>
    </xdr:from>
    <xdr:to>
      <xdr:col>18</xdr:col>
      <xdr:colOff>288352</xdr:colOff>
      <xdr:row>136</xdr:row>
      <xdr:rowOff>20320</xdr:rowOff>
    </xdr:to>
    <xdr:pic>
      <xdr:nvPicPr>
        <xdr:cNvPr id="10314" name="Picture 74">
          <a:extLst>
            <a:ext uri="{FF2B5EF4-FFF2-40B4-BE49-F238E27FC236}">
              <a16:creationId xmlns:a16="http://schemas.microsoft.com/office/drawing/2014/main" id="{F972EACA-1192-4796-F967-75AA4A5E7F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89901" y="18542000"/>
          <a:ext cx="3171251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23</xdr:col>
      <xdr:colOff>165101</xdr:colOff>
      <xdr:row>101</xdr:row>
      <xdr:rowOff>71120</xdr:rowOff>
    </xdr:from>
    <xdr:to>
      <xdr:col>28</xdr:col>
      <xdr:colOff>288352</xdr:colOff>
      <xdr:row>136</xdr:row>
      <xdr:rowOff>20320</xdr:rowOff>
    </xdr:to>
    <xdr:pic>
      <xdr:nvPicPr>
        <xdr:cNvPr id="10315" name="Picture 75">
          <a:extLst>
            <a:ext uri="{FF2B5EF4-FFF2-40B4-BE49-F238E27FC236}">
              <a16:creationId xmlns:a16="http://schemas.microsoft.com/office/drawing/2014/main" id="{C4DB0F2E-EB47-09F0-2059-35480E5494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85901" y="18542000"/>
          <a:ext cx="3171251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33</xdr:col>
      <xdr:colOff>165101</xdr:colOff>
      <xdr:row>101</xdr:row>
      <xdr:rowOff>71120</xdr:rowOff>
    </xdr:from>
    <xdr:to>
      <xdr:col>38</xdr:col>
      <xdr:colOff>288352</xdr:colOff>
      <xdr:row>136</xdr:row>
      <xdr:rowOff>20320</xdr:rowOff>
    </xdr:to>
    <xdr:pic>
      <xdr:nvPicPr>
        <xdr:cNvPr id="10316" name="Picture 76">
          <a:extLst>
            <a:ext uri="{FF2B5EF4-FFF2-40B4-BE49-F238E27FC236}">
              <a16:creationId xmlns:a16="http://schemas.microsoft.com/office/drawing/2014/main" id="{F16A735E-84CE-71E7-C128-97B75F8030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1901" y="18542000"/>
          <a:ext cx="3171251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165101</xdr:colOff>
      <xdr:row>147</xdr:row>
      <xdr:rowOff>71119</xdr:rowOff>
    </xdr:from>
    <xdr:to>
      <xdr:col>8</xdr:col>
      <xdr:colOff>288352</xdr:colOff>
      <xdr:row>182</xdr:row>
      <xdr:rowOff>20319</xdr:rowOff>
    </xdr:to>
    <xdr:pic>
      <xdr:nvPicPr>
        <xdr:cNvPr id="10317" name="Picture 77">
          <a:extLst>
            <a:ext uri="{FF2B5EF4-FFF2-40B4-BE49-F238E27FC236}">
              <a16:creationId xmlns:a16="http://schemas.microsoft.com/office/drawing/2014/main" id="{013CD0D4-8785-1738-511C-FB916283F4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3901" y="26954479"/>
          <a:ext cx="3171251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165101</xdr:colOff>
      <xdr:row>9</xdr:row>
      <xdr:rowOff>71120</xdr:rowOff>
    </xdr:from>
    <xdr:to>
      <xdr:col>8</xdr:col>
      <xdr:colOff>288352</xdr:colOff>
      <xdr:row>44</xdr:row>
      <xdr:rowOff>20320</xdr:rowOff>
    </xdr:to>
    <xdr:pic>
      <xdr:nvPicPr>
        <xdr:cNvPr id="10318" name="Picture 78">
          <a:extLst>
            <a:ext uri="{FF2B5EF4-FFF2-40B4-BE49-F238E27FC236}">
              <a16:creationId xmlns:a16="http://schemas.microsoft.com/office/drawing/2014/main" id="{0E779DB3-BA9E-B2B7-F6D3-DCA3F0236C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3901" y="1717040"/>
          <a:ext cx="3171251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165101</xdr:colOff>
      <xdr:row>9</xdr:row>
      <xdr:rowOff>71120</xdr:rowOff>
    </xdr:from>
    <xdr:to>
      <xdr:col>18</xdr:col>
      <xdr:colOff>288352</xdr:colOff>
      <xdr:row>44</xdr:row>
      <xdr:rowOff>20320</xdr:rowOff>
    </xdr:to>
    <xdr:pic>
      <xdr:nvPicPr>
        <xdr:cNvPr id="10319" name="Picture 79">
          <a:extLst>
            <a:ext uri="{FF2B5EF4-FFF2-40B4-BE49-F238E27FC236}">
              <a16:creationId xmlns:a16="http://schemas.microsoft.com/office/drawing/2014/main" id="{F0C8B31A-922D-2884-F294-E5FA3B3FE3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89901" y="1717040"/>
          <a:ext cx="3171251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23</xdr:col>
      <xdr:colOff>165101</xdr:colOff>
      <xdr:row>9</xdr:row>
      <xdr:rowOff>71120</xdr:rowOff>
    </xdr:from>
    <xdr:to>
      <xdr:col>28</xdr:col>
      <xdr:colOff>288352</xdr:colOff>
      <xdr:row>44</xdr:row>
      <xdr:rowOff>20320</xdr:rowOff>
    </xdr:to>
    <xdr:pic>
      <xdr:nvPicPr>
        <xdr:cNvPr id="10320" name="Picture 80">
          <a:extLst>
            <a:ext uri="{FF2B5EF4-FFF2-40B4-BE49-F238E27FC236}">
              <a16:creationId xmlns:a16="http://schemas.microsoft.com/office/drawing/2014/main" id="{C6FDC3FD-1E83-C567-8FF1-0AFEC41794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85901" y="1717040"/>
          <a:ext cx="3171251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33</xdr:col>
      <xdr:colOff>165101</xdr:colOff>
      <xdr:row>9</xdr:row>
      <xdr:rowOff>71120</xdr:rowOff>
    </xdr:from>
    <xdr:to>
      <xdr:col>38</xdr:col>
      <xdr:colOff>288352</xdr:colOff>
      <xdr:row>44</xdr:row>
      <xdr:rowOff>20320</xdr:rowOff>
    </xdr:to>
    <xdr:pic>
      <xdr:nvPicPr>
        <xdr:cNvPr id="10321" name="Picture 81">
          <a:extLst>
            <a:ext uri="{FF2B5EF4-FFF2-40B4-BE49-F238E27FC236}">
              <a16:creationId xmlns:a16="http://schemas.microsoft.com/office/drawing/2014/main" id="{65D8DA22-A505-8BA7-BD02-4FAB43DFCD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1901" y="1717040"/>
          <a:ext cx="3171251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165101</xdr:colOff>
      <xdr:row>55</xdr:row>
      <xdr:rowOff>71120</xdr:rowOff>
    </xdr:from>
    <xdr:to>
      <xdr:col>8</xdr:col>
      <xdr:colOff>288352</xdr:colOff>
      <xdr:row>90</xdr:row>
      <xdr:rowOff>20320</xdr:rowOff>
    </xdr:to>
    <xdr:pic>
      <xdr:nvPicPr>
        <xdr:cNvPr id="10322" name="Picture 82">
          <a:extLst>
            <a:ext uri="{FF2B5EF4-FFF2-40B4-BE49-F238E27FC236}">
              <a16:creationId xmlns:a16="http://schemas.microsoft.com/office/drawing/2014/main" id="{D6C0A5D7-647C-86F6-077B-13BBF20CA3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3901" y="10129520"/>
          <a:ext cx="3171251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165101</xdr:colOff>
      <xdr:row>55</xdr:row>
      <xdr:rowOff>71120</xdr:rowOff>
    </xdr:from>
    <xdr:to>
      <xdr:col>18</xdr:col>
      <xdr:colOff>288352</xdr:colOff>
      <xdr:row>90</xdr:row>
      <xdr:rowOff>20320</xdr:rowOff>
    </xdr:to>
    <xdr:pic>
      <xdr:nvPicPr>
        <xdr:cNvPr id="10323" name="Picture 83">
          <a:extLst>
            <a:ext uri="{FF2B5EF4-FFF2-40B4-BE49-F238E27FC236}">
              <a16:creationId xmlns:a16="http://schemas.microsoft.com/office/drawing/2014/main" id="{8242390B-74DF-B6F2-4804-201DFB7E53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89901" y="10129520"/>
          <a:ext cx="3171251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23</xdr:col>
      <xdr:colOff>165101</xdr:colOff>
      <xdr:row>55</xdr:row>
      <xdr:rowOff>71120</xdr:rowOff>
    </xdr:from>
    <xdr:to>
      <xdr:col>28</xdr:col>
      <xdr:colOff>288352</xdr:colOff>
      <xdr:row>90</xdr:row>
      <xdr:rowOff>20320</xdr:rowOff>
    </xdr:to>
    <xdr:pic>
      <xdr:nvPicPr>
        <xdr:cNvPr id="10324" name="Picture 84">
          <a:extLst>
            <a:ext uri="{FF2B5EF4-FFF2-40B4-BE49-F238E27FC236}">
              <a16:creationId xmlns:a16="http://schemas.microsoft.com/office/drawing/2014/main" id="{B88C6552-5A4C-D79E-781A-89038E49F3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85901" y="10129520"/>
          <a:ext cx="3171251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33</xdr:col>
      <xdr:colOff>165101</xdr:colOff>
      <xdr:row>55</xdr:row>
      <xdr:rowOff>71120</xdr:rowOff>
    </xdr:from>
    <xdr:to>
      <xdr:col>38</xdr:col>
      <xdr:colOff>288352</xdr:colOff>
      <xdr:row>90</xdr:row>
      <xdr:rowOff>20320</xdr:rowOff>
    </xdr:to>
    <xdr:pic>
      <xdr:nvPicPr>
        <xdr:cNvPr id="10325" name="Picture 85">
          <a:extLst>
            <a:ext uri="{FF2B5EF4-FFF2-40B4-BE49-F238E27FC236}">
              <a16:creationId xmlns:a16="http://schemas.microsoft.com/office/drawing/2014/main" id="{7793BA8B-6F96-34DA-F4A3-7623A427ED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1901" y="10129520"/>
          <a:ext cx="3171251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165101</xdr:colOff>
      <xdr:row>101</xdr:row>
      <xdr:rowOff>71120</xdr:rowOff>
    </xdr:from>
    <xdr:to>
      <xdr:col>8</xdr:col>
      <xdr:colOff>288352</xdr:colOff>
      <xdr:row>136</xdr:row>
      <xdr:rowOff>20320</xdr:rowOff>
    </xdr:to>
    <xdr:pic>
      <xdr:nvPicPr>
        <xdr:cNvPr id="10326" name="Picture 86">
          <a:extLst>
            <a:ext uri="{FF2B5EF4-FFF2-40B4-BE49-F238E27FC236}">
              <a16:creationId xmlns:a16="http://schemas.microsoft.com/office/drawing/2014/main" id="{167BD2F3-2FFF-BA09-59F2-8118804A39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3901" y="18542000"/>
          <a:ext cx="3171251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165101</xdr:colOff>
      <xdr:row>101</xdr:row>
      <xdr:rowOff>71120</xdr:rowOff>
    </xdr:from>
    <xdr:to>
      <xdr:col>18</xdr:col>
      <xdr:colOff>288352</xdr:colOff>
      <xdr:row>136</xdr:row>
      <xdr:rowOff>20320</xdr:rowOff>
    </xdr:to>
    <xdr:pic>
      <xdr:nvPicPr>
        <xdr:cNvPr id="10327" name="Picture 87">
          <a:extLst>
            <a:ext uri="{FF2B5EF4-FFF2-40B4-BE49-F238E27FC236}">
              <a16:creationId xmlns:a16="http://schemas.microsoft.com/office/drawing/2014/main" id="{585595AB-1C47-8E21-F324-41C551935E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89901" y="18542000"/>
          <a:ext cx="3171251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23</xdr:col>
      <xdr:colOff>165101</xdr:colOff>
      <xdr:row>101</xdr:row>
      <xdr:rowOff>71120</xdr:rowOff>
    </xdr:from>
    <xdr:to>
      <xdr:col>28</xdr:col>
      <xdr:colOff>288352</xdr:colOff>
      <xdr:row>136</xdr:row>
      <xdr:rowOff>20320</xdr:rowOff>
    </xdr:to>
    <xdr:pic>
      <xdr:nvPicPr>
        <xdr:cNvPr id="10328" name="Picture 88">
          <a:extLst>
            <a:ext uri="{FF2B5EF4-FFF2-40B4-BE49-F238E27FC236}">
              <a16:creationId xmlns:a16="http://schemas.microsoft.com/office/drawing/2014/main" id="{4E25C6DB-C280-B4CE-4856-7475413598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85901" y="18542000"/>
          <a:ext cx="3171251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33</xdr:col>
      <xdr:colOff>165101</xdr:colOff>
      <xdr:row>101</xdr:row>
      <xdr:rowOff>71120</xdr:rowOff>
    </xdr:from>
    <xdr:to>
      <xdr:col>38</xdr:col>
      <xdr:colOff>288352</xdr:colOff>
      <xdr:row>136</xdr:row>
      <xdr:rowOff>20320</xdr:rowOff>
    </xdr:to>
    <xdr:pic>
      <xdr:nvPicPr>
        <xdr:cNvPr id="10329" name="Picture 89">
          <a:extLst>
            <a:ext uri="{FF2B5EF4-FFF2-40B4-BE49-F238E27FC236}">
              <a16:creationId xmlns:a16="http://schemas.microsoft.com/office/drawing/2014/main" id="{588CE069-8BA0-BF93-58DC-9BB18208EF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1901" y="18542000"/>
          <a:ext cx="3171251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165101</xdr:colOff>
      <xdr:row>147</xdr:row>
      <xdr:rowOff>71119</xdr:rowOff>
    </xdr:from>
    <xdr:to>
      <xdr:col>8</xdr:col>
      <xdr:colOff>288352</xdr:colOff>
      <xdr:row>182</xdr:row>
      <xdr:rowOff>20319</xdr:rowOff>
    </xdr:to>
    <xdr:pic>
      <xdr:nvPicPr>
        <xdr:cNvPr id="10330" name="Picture 90">
          <a:extLst>
            <a:ext uri="{FF2B5EF4-FFF2-40B4-BE49-F238E27FC236}">
              <a16:creationId xmlns:a16="http://schemas.microsoft.com/office/drawing/2014/main" id="{AE1C2AE8-E448-CBD2-6F87-BF1E8EE07A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3901" y="26954479"/>
          <a:ext cx="3171251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165101</xdr:colOff>
      <xdr:row>147</xdr:row>
      <xdr:rowOff>71119</xdr:rowOff>
    </xdr:from>
    <xdr:to>
      <xdr:col>18</xdr:col>
      <xdr:colOff>288352</xdr:colOff>
      <xdr:row>182</xdr:row>
      <xdr:rowOff>20319</xdr:rowOff>
    </xdr:to>
    <xdr:pic>
      <xdr:nvPicPr>
        <xdr:cNvPr id="10331" name="Picture 91">
          <a:extLst>
            <a:ext uri="{FF2B5EF4-FFF2-40B4-BE49-F238E27FC236}">
              <a16:creationId xmlns:a16="http://schemas.microsoft.com/office/drawing/2014/main" id="{1C2C1394-FFEA-92F9-D3BE-3C265436C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89901" y="26954479"/>
          <a:ext cx="3171251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23</xdr:col>
      <xdr:colOff>165101</xdr:colOff>
      <xdr:row>147</xdr:row>
      <xdr:rowOff>71119</xdr:rowOff>
    </xdr:from>
    <xdr:to>
      <xdr:col>28</xdr:col>
      <xdr:colOff>288352</xdr:colOff>
      <xdr:row>182</xdr:row>
      <xdr:rowOff>20319</xdr:rowOff>
    </xdr:to>
    <xdr:pic>
      <xdr:nvPicPr>
        <xdr:cNvPr id="10332" name="Picture 92">
          <a:extLst>
            <a:ext uri="{FF2B5EF4-FFF2-40B4-BE49-F238E27FC236}">
              <a16:creationId xmlns:a16="http://schemas.microsoft.com/office/drawing/2014/main" id="{E928F9C3-7DE6-595A-4CFA-75707C9E49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85901" y="26954479"/>
          <a:ext cx="3171251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33</xdr:col>
      <xdr:colOff>165101</xdr:colOff>
      <xdr:row>147</xdr:row>
      <xdr:rowOff>71119</xdr:rowOff>
    </xdr:from>
    <xdr:to>
      <xdr:col>38</xdr:col>
      <xdr:colOff>288352</xdr:colOff>
      <xdr:row>182</xdr:row>
      <xdr:rowOff>20319</xdr:rowOff>
    </xdr:to>
    <xdr:pic>
      <xdr:nvPicPr>
        <xdr:cNvPr id="10333" name="Picture 93">
          <a:extLst>
            <a:ext uri="{FF2B5EF4-FFF2-40B4-BE49-F238E27FC236}">
              <a16:creationId xmlns:a16="http://schemas.microsoft.com/office/drawing/2014/main" id="{36032347-8CD5-2E7D-50D4-B7ED3B99EC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1901" y="26954479"/>
          <a:ext cx="3171251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C07BB-C8CB-47E2-84F1-B90B1751881F}">
  <sheetPr codeName="Planilha1"/>
  <dimension ref="A1:AM20"/>
  <sheetViews>
    <sheetView zoomScale="70" zoomScaleNormal="70" workbookViewId="0">
      <pane xSplit="1" ySplit="4" topLeftCell="O5" activePane="bottomRight" state="frozen"/>
      <selection pane="topRight" activeCell="B1" sqref="B1"/>
      <selection pane="bottomLeft" activeCell="A4" sqref="A4"/>
      <selection pane="bottomRight" activeCell="AI12" sqref="AI12"/>
    </sheetView>
  </sheetViews>
  <sheetFormatPr defaultRowHeight="14.4" x14ac:dyDescent="0.3"/>
  <cols>
    <col min="1" max="1" width="25.77734375" style="9" customWidth="1"/>
    <col min="2" max="12" width="10.5546875" style="10" customWidth="1"/>
    <col min="13" max="13" width="9.44140625" style="10" bestFit="1" customWidth="1"/>
    <col min="14" max="15" width="10.5546875" style="10" customWidth="1"/>
    <col min="16" max="26" width="10.5546875" style="1" customWidth="1"/>
    <col min="27" max="27" width="2.88671875" style="1" customWidth="1"/>
    <col min="28" max="30" width="12.88671875" style="8" customWidth="1"/>
    <col min="31" max="31" width="2.88671875" style="8" customWidth="1"/>
    <col min="32" max="32" width="8.88671875" style="8"/>
    <col min="33" max="33" width="9.6640625" style="8" bestFit="1" customWidth="1"/>
    <col min="34" max="34" width="8.88671875" style="8"/>
    <col min="35" max="36" width="8.88671875" style="5"/>
    <col min="37" max="37" width="10.44140625" style="5" bestFit="1" customWidth="1"/>
    <col min="38" max="38" width="8.88671875" style="5" customWidth="1"/>
    <col min="39" max="39" width="3.33203125" style="8" customWidth="1"/>
    <col min="40" max="16384" width="8.88671875" style="8"/>
  </cols>
  <sheetData>
    <row r="1" spans="1:39" s="2" customFormat="1" ht="15.6" customHeight="1" thickTop="1" x14ac:dyDescent="0.3">
      <c r="A1" s="15"/>
      <c r="B1" s="150" t="s">
        <v>42</v>
      </c>
      <c r="C1" s="151"/>
      <c r="D1" s="151"/>
      <c r="E1" s="151"/>
      <c r="F1" s="151"/>
      <c r="G1" s="151"/>
      <c r="H1" s="151"/>
      <c r="I1" s="152"/>
      <c r="J1" s="156" t="s">
        <v>66</v>
      </c>
      <c r="K1" s="156"/>
      <c r="L1" s="156"/>
      <c r="M1" s="156"/>
      <c r="N1" s="156"/>
      <c r="O1" s="156"/>
      <c r="P1" s="156"/>
      <c r="Q1" s="156"/>
      <c r="R1" s="156"/>
      <c r="S1" s="160" t="s">
        <v>61</v>
      </c>
      <c r="T1" s="160"/>
      <c r="U1" s="160"/>
      <c r="V1" s="160"/>
      <c r="W1" s="160"/>
      <c r="X1" s="160"/>
      <c r="Y1" s="160"/>
      <c r="Z1" s="160"/>
      <c r="AA1" s="28"/>
      <c r="AB1" s="179" t="s">
        <v>101</v>
      </c>
      <c r="AC1" s="180"/>
      <c r="AD1" s="180"/>
      <c r="AE1" s="34"/>
      <c r="AF1" s="179" t="s">
        <v>102</v>
      </c>
      <c r="AG1" s="180"/>
      <c r="AH1" s="180"/>
      <c r="AI1" s="180"/>
      <c r="AJ1" s="180"/>
      <c r="AK1" s="180"/>
      <c r="AL1" s="180"/>
      <c r="AM1" s="76"/>
    </row>
    <row r="2" spans="1:39" s="2" customFormat="1" ht="17.399999999999999" customHeight="1" x14ac:dyDescent="0.3">
      <c r="A2" s="15"/>
      <c r="B2" s="153" t="s">
        <v>0</v>
      </c>
      <c r="C2" s="154"/>
      <c r="D2" s="154"/>
      <c r="E2" s="154" t="s">
        <v>43</v>
      </c>
      <c r="F2" s="154"/>
      <c r="G2" s="154" t="s">
        <v>7</v>
      </c>
      <c r="H2" s="154"/>
      <c r="I2" s="155"/>
      <c r="J2" s="157" t="s">
        <v>113</v>
      </c>
      <c r="K2" s="157"/>
      <c r="L2" s="157"/>
      <c r="M2" s="157"/>
      <c r="N2" s="158" t="s">
        <v>53</v>
      </c>
      <c r="O2" s="158"/>
      <c r="P2" s="158"/>
      <c r="Q2" s="159"/>
      <c r="R2" s="12" t="s">
        <v>54</v>
      </c>
      <c r="S2" s="161" t="s">
        <v>62</v>
      </c>
      <c r="T2" s="161"/>
      <c r="U2" s="161" t="s">
        <v>63</v>
      </c>
      <c r="V2" s="161"/>
      <c r="W2" s="161"/>
      <c r="X2" s="161" t="s">
        <v>64</v>
      </c>
      <c r="Y2" s="161"/>
      <c r="Z2" s="161"/>
      <c r="AA2" s="29"/>
      <c r="AB2" s="179"/>
      <c r="AC2" s="180"/>
      <c r="AD2" s="180"/>
      <c r="AE2" s="34"/>
      <c r="AF2" s="179"/>
      <c r="AG2" s="180"/>
      <c r="AH2" s="180"/>
      <c r="AI2" s="180"/>
      <c r="AJ2" s="180"/>
      <c r="AK2" s="180"/>
      <c r="AL2" s="180"/>
      <c r="AM2" s="76"/>
    </row>
    <row r="3" spans="1:39" s="3" customFormat="1" ht="14.4" customHeight="1" x14ac:dyDescent="0.25">
      <c r="A3" s="16" t="s">
        <v>1</v>
      </c>
      <c r="B3" s="19">
        <v>1</v>
      </c>
      <c r="C3" s="11">
        <v>-1</v>
      </c>
      <c r="D3" s="11">
        <v>2</v>
      </c>
      <c r="E3" s="11">
        <v>2</v>
      </c>
      <c r="F3" s="11">
        <v>-1</v>
      </c>
      <c r="G3" s="11">
        <v>1</v>
      </c>
      <c r="H3" s="11">
        <v>-1</v>
      </c>
      <c r="I3" s="20">
        <v>5</v>
      </c>
      <c r="J3" s="17">
        <v>1</v>
      </c>
      <c r="K3" s="11">
        <v>-1</v>
      </c>
      <c r="L3" s="11">
        <v>1</v>
      </c>
      <c r="M3" s="11">
        <v>0</v>
      </c>
      <c r="N3" s="11">
        <v>2</v>
      </c>
      <c r="O3" s="11">
        <v>-2</v>
      </c>
      <c r="P3" s="11">
        <v>1</v>
      </c>
      <c r="Q3" s="11">
        <v>0</v>
      </c>
      <c r="R3" s="11">
        <v>-1</v>
      </c>
      <c r="S3" s="11">
        <v>-1</v>
      </c>
      <c r="T3" s="11">
        <v>1</v>
      </c>
      <c r="U3" s="11">
        <v>1</v>
      </c>
      <c r="V3" s="11">
        <v>-1</v>
      </c>
      <c r="W3" s="11">
        <v>-1</v>
      </c>
      <c r="X3" s="11">
        <v>1</v>
      </c>
      <c r="Y3" s="11">
        <v>-1</v>
      </c>
      <c r="Z3" s="11">
        <v>-2</v>
      </c>
      <c r="AA3" s="30"/>
      <c r="AB3" s="179"/>
      <c r="AC3" s="180"/>
      <c r="AD3" s="180"/>
      <c r="AE3" s="35"/>
      <c r="AF3" s="179"/>
      <c r="AG3" s="180"/>
      <c r="AH3" s="180"/>
      <c r="AI3" s="180"/>
      <c r="AJ3" s="180"/>
      <c r="AK3" s="180"/>
      <c r="AL3" s="180"/>
      <c r="AM3" s="77"/>
    </row>
    <row r="4" spans="1:39" s="4" customFormat="1" ht="40.799999999999997" customHeight="1" x14ac:dyDescent="0.2">
      <c r="A4" s="107" t="s">
        <v>2</v>
      </c>
      <c r="B4" s="21" t="s">
        <v>3</v>
      </c>
      <c r="C4" s="13" t="s">
        <v>4</v>
      </c>
      <c r="D4" s="13" t="s">
        <v>38</v>
      </c>
      <c r="E4" s="13" t="s">
        <v>39</v>
      </c>
      <c r="F4" s="13" t="s">
        <v>40</v>
      </c>
      <c r="G4" s="13" t="s">
        <v>41</v>
      </c>
      <c r="H4" s="13" t="s">
        <v>12</v>
      </c>
      <c r="I4" s="22" t="s">
        <v>5</v>
      </c>
      <c r="J4" s="18" t="s">
        <v>46</v>
      </c>
      <c r="K4" s="13" t="s">
        <v>47</v>
      </c>
      <c r="L4" s="13" t="s">
        <v>48</v>
      </c>
      <c r="M4" s="13" t="s">
        <v>49</v>
      </c>
      <c r="N4" s="13" t="s">
        <v>46</v>
      </c>
      <c r="O4" s="13" t="s">
        <v>47</v>
      </c>
      <c r="P4" s="13" t="s">
        <v>50</v>
      </c>
      <c r="Q4" s="13" t="s">
        <v>51</v>
      </c>
      <c r="R4" s="13" t="s">
        <v>52</v>
      </c>
      <c r="S4" s="13" t="s">
        <v>65</v>
      </c>
      <c r="T4" s="13" t="s">
        <v>55</v>
      </c>
      <c r="U4" s="13" t="s">
        <v>56</v>
      </c>
      <c r="V4" s="13" t="s">
        <v>57</v>
      </c>
      <c r="W4" s="13" t="s">
        <v>11</v>
      </c>
      <c r="X4" s="13" t="s">
        <v>58</v>
      </c>
      <c r="Y4" s="13" t="s">
        <v>59</v>
      </c>
      <c r="Z4" s="13" t="s">
        <v>60</v>
      </c>
      <c r="AA4" s="31"/>
      <c r="AB4" s="75" t="s">
        <v>97</v>
      </c>
      <c r="AC4" s="75" t="s">
        <v>98</v>
      </c>
      <c r="AD4" s="75" t="s">
        <v>96</v>
      </c>
      <c r="AE4" s="36"/>
      <c r="AF4" s="75" t="s">
        <v>0</v>
      </c>
      <c r="AG4" s="75" t="s">
        <v>17</v>
      </c>
      <c r="AH4" s="75" t="s">
        <v>7</v>
      </c>
      <c r="AI4" s="75" t="s">
        <v>115</v>
      </c>
      <c r="AJ4" s="75" t="s">
        <v>116</v>
      </c>
      <c r="AK4" s="75" t="s">
        <v>117</v>
      </c>
      <c r="AL4" s="75" t="s">
        <v>118</v>
      </c>
      <c r="AM4" s="78"/>
    </row>
    <row r="5" spans="1:39" s="6" customFormat="1" ht="28.8" customHeight="1" x14ac:dyDescent="0.3">
      <c r="A5" s="59" t="s">
        <v>25</v>
      </c>
      <c r="B5" s="108">
        <v>0</v>
      </c>
      <c r="C5" s="106">
        <v>0</v>
      </c>
      <c r="D5" s="106">
        <v>0</v>
      </c>
      <c r="E5" s="106">
        <v>0</v>
      </c>
      <c r="F5" s="106">
        <v>0</v>
      </c>
      <c r="G5" s="106">
        <v>0</v>
      </c>
      <c r="H5" s="106">
        <v>0</v>
      </c>
      <c r="I5" s="109">
        <v>0</v>
      </c>
      <c r="J5" s="146">
        <v>0</v>
      </c>
      <c r="K5" s="146">
        <v>0</v>
      </c>
      <c r="L5" s="146">
        <v>0</v>
      </c>
      <c r="M5" s="146">
        <v>0</v>
      </c>
      <c r="N5" s="148">
        <v>0</v>
      </c>
      <c r="O5" s="148">
        <v>0</v>
      </c>
      <c r="P5" s="148">
        <v>0</v>
      </c>
      <c r="Q5" s="148">
        <v>0</v>
      </c>
      <c r="R5" s="149">
        <v>0</v>
      </c>
      <c r="S5" s="106">
        <v>0</v>
      </c>
      <c r="T5" s="106">
        <v>0</v>
      </c>
      <c r="U5" s="106">
        <v>0</v>
      </c>
      <c r="V5" s="106">
        <v>0</v>
      </c>
      <c r="W5" s="106">
        <v>0</v>
      </c>
      <c r="X5" s="106">
        <v>0</v>
      </c>
      <c r="Y5" s="106">
        <v>0</v>
      </c>
      <c r="Z5" s="106">
        <v>0</v>
      </c>
      <c r="AA5" s="32"/>
      <c r="AB5" s="5">
        <f>(B5*$B$3)+(C5*$C$3)+(D5*$D$3)+(E5*$E$3)+(F5*$F$3)+(G5*$G$3)+(H5*$H$3)+(J5*$J$3)+(K5*$K$3)+(L5*$L$3)+(M5*$M$3)</f>
        <v>0</v>
      </c>
      <c r="AC5" s="5">
        <f>(N5*N$3)+(O5*O$3)+(P5*P$3)+(Q5*Q$3)+(R5*R$3)+(B5*B$3)+(E5*E$3)</f>
        <v>0</v>
      </c>
      <c r="AD5" s="5">
        <f>(Z5*Z$3)+(Y5*Y$3)+(X5*X$3)+(W5*W$3)+(V5*V$3)+(U5*U$3)+(T5*T$3)+(S5*S$3)+(D5*D$3)</f>
        <v>0</v>
      </c>
      <c r="AE5" s="37"/>
      <c r="AF5" s="7">
        <f t="shared" ref="AF5" si="0">IFERROR(((B5*B$3)+(D5*D$3))*100/((B5*B$3)+(C5)+(D5*D$3)),11)</f>
        <v>11</v>
      </c>
      <c r="AG5" s="7">
        <f>IFERROR(E5*100/SUM(E5:F5),11)</f>
        <v>11</v>
      </c>
      <c r="AH5" s="7">
        <f>IFERROR(((G5*G$3)+(I5*I$3))*60/((G5*G$3)+(H5*2)+(I5*I$3))+(I5*15),11)</f>
        <v>11</v>
      </c>
      <c r="AI5" s="7">
        <f>IFERROR(((J5+L5+L5+M5)*50/(SUM(J5:M5)+L5+R5))+(AF5/5)+(AG5*15/100)+(AH5*15/100),11)</f>
        <v>11</v>
      </c>
      <c r="AJ5" s="7">
        <f>IFERROR((((N5+P5+(Q5/2))*70/(SUM(N5:P5)+(Q5/2)+R5)))+(AF5*30/100),11)</f>
        <v>11</v>
      </c>
      <c r="AK5" s="7">
        <f>IFERROR(T5*100/(SUM(S5:T5)),11)</f>
        <v>11</v>
      </c>
      <c r="AL5" s="7">
        <f>IFERROR(((U5*U$3)*50/((U5*U$3)+V5+W5))+((X5*X$3)*50/((X5*X$3)+Y5+(Z5*2))),11)</f>
        <v>11</v>
      </c>
      <c r="AM5" s="79"/>
    </row>
    <row r="6" spans="1:39" s="6" customFormat="1" ht="28.8" customHeight="1" x14ac:dyDescent="0.3">
      <c r="A6" s="59" t="s">
        <v>26</v>
      </c>
      <c r="B6" s="108">
        <v>0</v>
      </c>
      <c r="C6" s="106">
        <v>0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9">
        <v>0</v>
      </c>
      <c r="J6" s="146">
        <v>0</v>
      </c>
      <c r="K6" s="146">
        <v>0</v>
      </c>
      <c r="L6" s="146">
        <v>0</v>
      </c>
      <c r="M6" s="146">
        <v>0</v>
      </c>
      <c r="N6" s="148">
        <v>0</v>
      </c>
      <c r="O6" s="148">
        <v>0</v>
      </c>
      <c r="P6" s="148">
        <v>0</v>
      </c>
      <c r="Q6" s="148">
        <v>0</v>
      </c>
      <c r="R6" s="149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32"/>
      <c r="AB6" s="5">
        <f t="shared" ref="AB6:AB20" si="1">(B6*$B$3)+(C6*$C$3)+(D6*$D$3)+(E6*$E$3)+(F6*$F$3)+(G6*$G$3)+(H6*$H$3)+(J6*$J$3)+(K6*$K$3)+(L6*$L$3)+(M6*$M$3)</f>
        <v>0</v>
      </c>
      <c r="AC6" s="5">
        <f t="shared" ref="AC6:AC20" si="2">(N6*N$3)+(O6*O$3)+(P6*P$3)+(Q6*Q$3)+(R6*R$3)+(B6*B$3)+(E6*E$3)</f>
        <v>0</v>
      </c>
      <c r="AD6" s="5">
        <f t="shared" ref="AD6:AD20" si="3">(Z6*Z$3)+(Y6*Y$3)+(X6*X$3)+(W6*W$3)+(V6*V$3)+(U6*U$3)+(T6*T$3)+(S6*S$3)+(D6*D$3)</f>
        <v>0</v>
      </c>
      <c r="AE6" s="37"/>
      <c r="AF6" s="7">
        <f t="shared" ref="AF6:AF20" si="4">IFERROR(((B6*B$3)+(D6*D$3))*100/((B6*B$3)+(C6)+(D6*D$3)),11)</f>
        <v>11</v>
      </c>
      <c r="AG6" s="7">
        <f t="shared" ref="AG6:AG20" si="5">IFERROR(E6*100/SUM(E6:F6),11)</f>
        <v>11</v>
      </c>
      <c r="AH6" s="7">
        <f t="shared" ref="AH6:AH20" si="6">IFERROR(((G6*G$3)+(I6*I$3))*60/((G6*G$3)+(H6*2)+(I6*I$3))+(I6*15),11)</f>
        <v>11</v>
      </c>
      <c r="AI6" s="7">
        <f t="shared" ref="AI6:AI20" si="7">IFERROR(((J6+L6+L6+M6)*50/(SUM(J6:M6)+L6+R6))+(AF6/5)+(AG6*15/100)+(AH6*15/100),11)</f>
        <v>11</v>
      </c>
      <c r="AJ6" s="7">
        <f t="shared" ref="AJ6:AJ20" si="8">IFERROR((((N6+P6+(Q6/2))*70/(SUM(N6:P6)+(Q6/2)+R6)))+(AF6*30/100),11)</f>
        <v>11</v>
      </c>
      <c r="AK6" s="7">
        <f t="shared" ref="AK6:AK20" si="9">IFERROR(T6*100/(SUM(S6:T6)),11)</f>
        <v>11</v>
      </c>
      <c r="AL6" s="7">
        <f t="shared" ref="AL6:AL20" si="10">IFERROR(((U6*U$3)*50/((U6*U$3)+V6+W6))+((X6*X$3)*50/((X6*X$3)+Y6+(Z6*2))),11)</f>
        <v>11</v>
      </c>
      <c r="AM6" s="79"/>
    </row>
    <row r="7" spans="1:39" s="6" customFormat="1" ht="28.8" customHeight="1" x14ac:dyDescent="0.3">
      <c r="A7" s="59" t="s">
        <v>24</v>
      </c>
      <c r="B7" s="108">
        <v>0</v>
      </c>
      <c r="C7" s="106">
        <v>0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9">
        <v>0</v>
      </c>
      <c r="J7" s="146">
        <v>0</v>
      </c>
      <c r="K7" s="146">
        <v>0</v>
      </c>
      <c r="L7" s="146">
        <v>0</v>
      </c>
      <c r="M7" s="146">
        <v>0</v>
      </c>
      <c r="N7" s="148">
        <v>0</v>
      </c>
      <c r="O7" s="148">
        <v>0</v>
      </c>
      <c r="P7" s="148">
        <v>0</v>
      </c>
      <c r="Q7" s="148">
        <v>0</v>
      </c>
      <c r="R7" s="149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32"/>
      <c r="AB7" s="5">
        <f t="shared" si="1"/>
        <v>0</v>
      </c>
      <c r="AC7" s="5">
        <f t="shared" si="2"/>
        <v>0</v>
      </c>
      <c r="AD7" s="5">
        <f t="shared" si="3"/>
        <v>0</v>
      </c>
      <c r="AE7" s="37"/>
      <c r="AF7" s="7">
        <f t="shared" si="4"/>
        <v>11</v>
      </c>
      <c r="AG7" s="7">
        <f t="shared" si="5"/>
        <v>11</v>
      </c>
      <c r="AH7" s="7">
        <f t="shared" si="6"/>
        <v>11</v>
      </c>
      <c r="AI7" s="7">
        <f t="shared" si="7"/>
        <v>11</v>
      </c>
      <c r="AJ7" s="7">
        <f t="shared" si="8"/>
        <v>11</v>
      </c>
      <c r="AK7" s="7">
        <f t="shared" si="9"/>
        <v>11</v>
      </c>
      <c r="AL7" s="7">
        <f t="shared" si="10"/>
        <v>11</v>
      </c>
      <c r="AM7" s="79"/>
    </row>
    <row r="8" spans="1:39" s="6" customFormat="1" ht="28.8" customHeight="1" x14ac:dyDescent="0.3">
      <c r="A8" s="59" t="s">
        <v>27</v>
      </c>
      <c r="B8" s="108">
        <v>0</v>
      </c>
      <c r="C8" s="106">
        <v>0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9">
        <v>0</v>
      </c>
      <c r="J8" s="146">
        <v>0</v>
      </c>
      <c r="K8" s="146">
        <v>0</v>
      </c>
      <c r="L8" s="146">
        <v>0</v>
      </c>
      <c r="M8" s="146">
        <v>0</v>
      </c>
      <c r="N8" s="148">
        <v>0</v>
      </c>
      <c r="O8" s="148">
        <v>0</v>
      </c>
      <c r="P8" s="148">
        <v>0</v>
      </c>
      <c r="Q8" s="148">
        <v>0</v>
      </c>
      <c r="R8" s="149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32"/>
      <c r="AB8" s="5">
        <f t="shared" si="1"/>
        <v>0</v>
      </c>
      <c r="AC8" s="5">
        <f t="shared" si="2"/>
        <v>0</v>
      </c>
      <c r="AD8" s="5">
        <f t="shared" si="3"/>
        <v>0</v>
      </c>
      <c r="AE8" s="37"/>
      <c r="AF8" s="7">
        <f t="shared" si="4"/>
        <v>11</v>
      </c>
      <c r="AG8" s="7">
        <f t="shared" si="5"/>
        <v>11</v>
      </c>
      <c r="AH8" s="7">
        <f t="shared" si="6"/>
        <v>11</v>
      </c>
      <c r="AI8" s="7">
        <f t="shared" si="7"/>
        <v>11</v>
      </c>
      <c r="AJ8" s="7">
        <f t="shared" si="8"/>
        <v>11</v>
      </c>
      <c r="AK8" s="7">
        <f t="shared" si="9"/>
        <v>11</v>
      </c>
      <c r="AL8" s="7">
        <f t="shared" si="10"/>
        <v>11</v>
      </c>
      <c r="AM8" s="79"/>
    </row>
    <row r="9" spans="1:39" s="6" customFormat="1" ht="28.8" customHeight="1" x14ac:dyDescent="0.3">
      <c r="A9" s="59" t="s">
        <v>31</v>
      </c>
      <c r="B9" s="108">
        <v>0</v>
      </c>
      <c r="C9" s="106">
        <v>0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9">
        <v>0</v>
      </c>
      <c r="J9" s="146">
        <v>0</v>
      </c>
      <c r="K9" s="146">
        <v>0</v>
      </c>
      <c r="L9" s="146">
        <v>0</v>
      </c>
      <c r="M9" s="146">
        <v>0</v>
      </c>
      <c r="N9" s="148">
        <v>0</v>
      </c>
      <c r="O9" s="148">
        <v>0</v>
      </c>
      <c r="P9" s="148">
        <v>0</v>
      </c>
      <c r="Q9" s="148">
        <v>0</v>
      </c>
      <c r="R9" s="149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32"/>
      <c r="AB9" s="5">
        <f t="shared" si="1"/>
        <v>0</v>
      </c>
      <c r="AC9" s="5">
        <f t="shared" si="2"/>
        <v>0</v>
      </c>
      <c r="AD9" s="5">
        <f t="shared" si="3"/>
        <v>0</v>
      </c>
      <c r="AE9" s="37"/>
      <c r="AF9" s="7">
        <f t="shared" si="4"/>
        <v>11</v>
      </c>
      <c r="AG9" s="7">
        <f t="shared" si="5"/>
        <v>11</v>
      </c>
      <c r="AH9" s="7">
        <f t="shared" si="6"/>
        <v>11</v>
      </c>
      <c r="AI9" s="7">
        <f t="shared" si="7"/>
        <v>11</v>
      </c>
      <c r="AJ9" s="7">
        <f t="shared" si="8"/>
        <v>11</v>
      </c>
      <c r="AK9" s="7">
        <f t="shared" si="9"/>
        <v>11</v>
      </c>
      <c r="AL9" s="7">
        <f t="shared" si="10"/>
        <v>11</v>
      </c>
      <c r="AM9" s="79"/>
    </row>
    <row r="10" spans="1:39" s="6" customFormat="1" ht="28.8" customHeight="1" x14ac:dyDescent="0.3">
      <c r="A10" s="59" t="s">
        <v>29</v>
      </c>
      <c r="B10" s="108">
        <v>0</v>
      </c>
      <c r="C10" s="106">
        <v>0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9">
        <v>0</v>
      </c>
      <c r="J10" s="146">
        <v>0</v>
      </c>
      <c r="K10" s="146">
        <v>0</v>
      </c>
      <c r="L10" s="146">
        <v>0</v>
      </c>
      <c r="M10" s="146">
        <v>0</v>
      </c>
      <c r="N10" s="148">
        <v>0</v>
      </c>
      <c r="O10" s="148">
        <v>0</v>
      </c>
      <c r="P10" s="148">
        <v>0</v>
      </c>
      <c r="Q10" s="148">
        <v>0</v>
      </c>
      <c r="R10" s="149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32"/>
      <c r="AB10" s="5">
        <f t="shared" si="1"/>
        <v>0</v>
      </c>
      <c r="AC10" s="5">
        <f t="shared" si="2"/>
        <v>0</v>
      </c>
      <c r="AD10" s="5">
        <f t="shared" si="3"/>
        <v>0</v>
      </c>
      <c r="AE10" s="37"/>
      <c r="AF10" s="7">
        <f t="shared" si="4"/>
        <v>11</v>
      </c>
      <c r="AG10" s="7">
        <f t="shared" si="5"/>
        <v>11</v>
      </c>
      <c r="AH10" s="7">
        <f t="shared" si="6"/>
        <v>11</v>
      </c>
      <c r="AI10" s="7">
        <f t="shared" si="7"/>
        <v>11</v>
      </c>
      <c r="AJ10" s="7">
        <f t="shared" si="8"/>
        <v>11</v>
      </c>
      <c r="AK10" s="7">
        <f t="shared" si="9"/>
        <v>11</v>
      </c>
      <c r="AL10" s="7">
        <f t="shared" si="10"/>
        <v>11</v>
      </c>
      <c r="AM10" s="79"/>
    </row>
    <row r="11" spans="1:39" s="6" customFormat="1" ht="28.8" customHeight="1" x14ac:dyDescent="0.3">
      <c r="A11" s="59" t="s">
        <v>28</v>
      </c>
      <c r="B11" s="108">
        <v>0</v>
      </c>
      <c r="C11" s="106">
        <v>0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9">
        <v>0</v>
      </c>
      <c r="J11" s="146">
        <v>0</v>
      </c>
      <c r="K11" s="146">
        <v>0</v>
      </c>
      <c r="L11" s="146">
        <v>0</v>
      </c>
      <c r="M11" s="146">
        <v>0</v>
      </c>
      <c r="N11" s="148">
        <v>0</v>
      </c>
      <c r="O11" s="148">
        <v>0</v>
      </c>
      <c r="P11" s="148">
        <v>0</v>
      </c>
      <c r="Q11" s="148">
        <v>0</v>
      </c>
      <c r="R11" s="149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32"/>
      <c r="AB11" s="5">
        <f t="shared" si="1"/>
        <v>0</v>
      </c>
      <c r="AC11" s="5">
        <f t="shared" si="2"/>
        <v>0</v>
      </c>
      <c r="AD11" s="5">
        <f t="shared" si="3"/>
        <v>0</v>
      </c>
      <c r="AE11" s="37"/>
      <c r="AF11" s="7">
        <f t="shared" si="4"/>
        <v>11</v>
      </c>
      <c r="AG11" s="7">
        <f t="shared" si="5"/>
        <v>11</v>
      </c>
      <c r="AH11" s="7">
        <f t="shared" si="6"/>
        <v>11</v>
      </c>
      <c r="AI11" s="7">
        <f t="shared" si="7"/>
        <v>11</v>
      </c>
      <c r="AJ11" s="7">
        <f t="shared" si="8"/>
        <v>11</v>
      </c>
      <c r="AK11" s="7">
        <f t="shared" si="9"/>
        <v>11</v>
      </c>
      <c r="AL11" s="7">
        <f t="shared" si="10"/>
        <v>11</v>
      </c>
      <c r="AM11" s="79"/>
    </row>
    <row r="12" spans="1:39" s="6" customFormat="1" ht="28.8" customHeight="1" x14ac:dyDescent="0.3">
      <c r="A12" s="59" t="s">
        <v>164</v>
      </c>
      <c r="B12" s="108">
        <v>0</v>
      </c>
      <c r="C12" s="106">
        <v>1</v>
      </c>
      <c r="D12" s="106">
        <v>0</v>
      </c>
      <c r="E12" s="106">
        <v>0</v>
      </c>
      <c r="F12" s="106">
        <v>1</v>
      </c>
      <c r="G12" s="106">
        <v>0</v>
      </c>
      <c r="H12" s="106">
        <v>0</v>
      </c>
      <c r="I12" s="109">
        <v>1</v>
      </c>
      <c r="J12" s="146">
        <v>0</v>
      </c>
      <c r="K12" s="146">
        <v>0</v>
      </c>
      <c r="L12" s="146">
        <v>0</v>
      </c>
      <c r="M12" s="146">
        <v>0</v>
      </c>
      <c r="N12" s="148">
        <v>0</v>
      </c>
      <c r="O12" s="148">
        <v>0</v>
      </c>
      <c r="P12" s="148">
        <v>0</v>
      </c>
      <c r="Q12" s="148">
        <v>0</v>
      </c>
      <c r="R12" s="149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32"/>
      <c r="AB12" s="5">
        <f t="shared" si="1"/>
        <v>-2</v>
      </c>
      <c r="AC12" s="5">
        <f t="shared" si="2"/>
        <v>0</v>
      </c>
      <c r="AD12" s="5">
        <f t="shared" si="3"/>
        <v>0</v>
      </c>
      <c r="AE12" s="37"/>
      <c r="AF12" s="7">
        <f t="shared" si="4"/>
        <v>0</v>
      </c>
      <c r="AG12" s="7">
        <f t="shared" si="5"/>
        <v>0</v>
      </c>
      <c r="AH12" s="7">
        <f t="shared" si="6"/>
        <v>75</v>
      </c>
      <c r="AI12" s="7">
        <f t="shared" si="7"/>
        <v>11</v>
      </c>
      <c r="AJ12" s="7">
        <f t="shared" si="8"/>
        <v>11</v>
      </c>
      <c r="AK12" s="7">
        <f t="shared" si="9"/>
        <v>11</v>
      </c>
      <c r="AL12" s="7">
        <f t="shared" si="10"/>
        <v>11</v>
      </c>
      <c r="AM12" s="79"/>
    </row>
    <row r="13" spans="1:39" s="6" customFormat="1" ht="28.8" customHeight="1" x14ac:dyDescent="0.3">
      <c r="A13" s="59" t="s">
        <v>33</v>
      </c>
      <c r="B13" s="108">
        <v>0</v>
      </c>
      <c r="C13" s="106">
        <v>0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9">
        <v>0</v>
      </c>
      <c r="J13" s="146">
        <v>0</v>
      </c>
      <c r="K13" s="146">
        <v>0</v>
      </c>
      <c r="L13" s="146">
        <v>0</v>
      </c>
      <c r="M13" s="146">
        <v>0</v>
      </c>
      <c r="N13" s="148">
        <v>0</v>
      </c>
      <c r="O13" s="148">
        <v>0</v>
      </c>
      <c r="P13" s="148">
        <v>0</v>
      </c>
      <c r="Q13" s="148">
        <v>0</v>
      </c>
      <c r="R13" s="149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32"/>
      <c r="AB13" s="5">
        <f t="shared" si="1"/>
        <v>0</v>
      </c>
      <c r="AC13" s="5">
        <f t="shared" si="2"/>
        <v>0</v>
      </c>
      <c r="AD13" s="5">
        <f t="shared" si="3"/>
        <v>0</v>
      </c>
      <c r="AE13" s="37"/>
      <c r="AF13" s="7">
        <f t="shared" si="4"/>
        <v>11</v>
      </c>
      <c r="AG13" s="7">
        <f t="shared" si="5"/>
        <v>11</v>
      </c>
      <c r="AH13" s="7">
        <f t="shared" si="6"/>
        <v>11</v>
      </c>
      <c r="AI13" s="7">
        <f t="shared" si="7"/>
        <v>11</v>
      </c>
      <c r="AJ13" s="7">
        <f t="shared" si="8"/>
        <v>11</v>
      </c>
      <c r="AK13" s="7">
        <f t="shared" si="9"/>
        <v>11</v>
      </c>
      <c r="AL13" s="7">
        <f t="shared" si="10"/>
        <v>11</v>
      </c>
      <c r="AM13" s="79"/>
    </row>
    <row r="14" spans="1:39" s="6" customFormat="1" ht="28.8" customHeight="1" x14ac:dyDescent="0.3">
      <c r="A14" s="59" t="s">
        <v>162</v>
      </c>
      <c r="B14" s="108">
        <v>0</v>
      </c>
      <c r="C14" s="106">
        <v>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9">
        <v>0</v>
      </c>
      <c r="J14" s="146">
        <v>0</v>
      </c>
      <c r="K14" s="146">
        <v>0</v>
      </c>
      <c r="L14" s="146">
        <v>0</v>
      </c>
      <c r="M14" s="146">
        <v>0</v>
      </c>
      <c r="N14" s="148">
        <v>0</v>
      </c>
      <c r="O14" s="148">
        <v>0</v>
      </c>
      <c r="P14" s="148">
        <v>0</v>
      </c>
      <c r="Q14" s="148">
        <v>0</v>
      </c>
      <c r="R14" s="149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32"/>
      <c r="AB14" s="5">
        <f t="shared" si="1"/>
        <v>0</v>
      </c>
      <c r="AC14" s="5">
        <f t="shared" si="2"/>
        <v>0</v>
      </c>
      <c r="AD14" s="5">
        <f t="shared" si="3"/>
        <v>0</v>
      </c>
      <c r="AE14" s="37"/>
      <c r="AF14" s="7">
        <f t="shared" si="4"/>
        <v>11</v>
      </c>
      <c r="AG14" s="7">
        <f t="shared" si="5"/>
        <v>11</v>
      </c>
      <c r="AH14" s="7">
        <f t="shared" si="6"/>
        <v>11</v>
      </c>
      <c r="AI14" s="7">
        <f t="shared" si="7"/>
        <v>11</v>
      </c>
      <c r="AJ14" s="7">
        <f t="shared" si="8"/>
        <v>11</v>
      </c>
      <c r="AK14" s="7">
        <f t="shared" si="9"/>
        <v>11</v>
      </c>
      <c r="AL14" s="7">
        <f t="shared" si="10"/>
        <v>11</v>
      </c>
      <c r="AM14" s="79"/>
    </row>
    <row r="15" spans="1:39" s="6" customFormat="1" ht="28.8" customHeight="1" x14ac:dyDescent="0.3">
      <c r="A15" s="59" t="s">
        <v>32</v>
      </c>
      <c r="B15" s="108">
        <v>0</v>
      </c>
      <c r="C15" s="106">
        <v>0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9">
        <v>0</v>
      </c>
      <c r="J15" s="146">
        <v>0</v>
      </c>
      <c r="K15" s="146">
        <v>0</v>
      </c>
      <c r="L15" s="146">
        <v>0</v>
      </c>
      <c r="M15" s="146">
        <v>0</v>
      </c>
      <c r="N15" s="148">
        <v>0</v>
      </c>
      <c r="O15" s="148">
        <v>0</v>
      </c>
      <c r="P15" s="148">
        <v>0</v>
      </c>
      <c r="Q15" s="148">
        <v>0</v>
      </c>
      <c r="R15" s="149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32"/>
      <c r="AB15" s="5">
        <f t="shared" si="1"/>
        <v>0</v>
      </c>
      <c r="AC15" s="5">
        <f t="shared" si="2"/>
        <v>0</v>
      </c>
      <c r="AD15" s="5">
        <f t="shared" si="3"/>
        <v>0</v>
      </c>
      <c r="AE15" s="37"/>
      <c r="AF15" s="7">
        <f t="shared" si="4"/>
        <v>11</v>
      </c>
      <c r="AG15" s="7">
        <f t="shared" si="5"/>
        <v>11</v>
      </c>
      <c r="AH15" s="7">
        <f t="shared" si="6"/>
        <v>11</v>
      </c>
      <c r="AI15" s="7">
        <f t="shared" si="7"/>
        <v>11</v>
      </c>
      <c r="AJ15" s="7">
        <f t="shared" si="8"/>
        <v>11</v>
      </c>
      <c r="AK15" s="7">
        <f t="shared" si="9"/>
        <v>11</v>
      </c>
      <c r="AL15" s="7">
        <f t="shared" si="10"/>
        <v>11</v>
      </c>
      <c r="AM15" s="79"/>
    </row>
    <row r="16" spans="1:39" ht="28.8" customHeight="1" x14ac:dyDescent="0.3">
      <c r="A16" s="59" t="s">
        <v>34</v>
      </c>
      <c r="B16" s="108">
        <v>0</v>
      </c>
      <c r="C16" s="106">
        <v>0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9">
        <v>0</v>
      </c>
      <c r="J16" s="146">
        <v>0</v>
      </c>
      <c r="K16" s="146">
        <v>0</v>
      </c>
      <c r="L16" s="146">
        <v>0</v>
      </c>
      <c r="M16" s="146">
        <v>0</v>
      </c>
      <c r="N16" s="148">
        <v>0</v>
      </c>
      <c r="O16" s="148">
        <v>0</v>
      </c>
      <c r="P16" s="148">
        <v>0</v>
      </c>
      <c r="Q16" s="148">
        <v>0</v>
      </c>
      <c r="R16" s="149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32"/>
      <c r="AB16" s="5">
        <f t="shared" si="1"/>
        <v>0</v>
      </c>
      <c r="AC16" s="5">
        <f t="shared" si="2"/>
        <v>0</v>
      </c>
      <c r="AD16" s="5">
        <f t="shared" si="3"/>
        <v>0</v>
      </c>
      <c r="AE16" s="37"/>
      <c r="AF16" s="7">
        <f t="shared" si="4"/>
        <v>11</v>
      </c>
      <c r="AG16" s="7">
        <f t="shared" si="5"/>
        <v>11</v>
      </c>
      <c r="AH16" s="7">
        <f t="shared" si="6"/>
        <v>11</v>
      </c>
      <c r="AI16" s="7">
        <f t="shared" si="7"/>
        <v>11</v>
      </c>
      <c r="AJ16" s="7">
        <f t="shared" si="8"/>
        <v>11</v>
      </c>
      <c r="AK16" s="7">
        <f t="shared" si="9"/>
        <v>11</v>
      </c>
      <c r="AL16" s="7">
        <f t="shared" si="10"/>
        <v>11</v>
      </c>
      <c r="AM16" s="80"/>
    </row>
    <row r="17" spans="1:39" ht="28.8" customHeight="1" x14ac:dyDescent="0.3">
      <c r="A17" s="59" t="s">
        <v>36</v>
      </c>
      <c r="B17" s="108">
        <v>0</v>
      </c>
      <c r="C17" s="106">
        <v>0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9">
        <v>0</v>
      </c>
      <c r="J17" s="146">
        <v>0</v>
      </c>
      <c r="K17" s="146">
        <v>0</v>
      </c>
      <c r="L17" s="146">
        <v>0</v>
      </c>
      <c r="M17" s="146">
        <v>0</v>
      </c>
      <c r="N17" s="148">
        <v>0</v>
      </c>
      <c r="O17" s="148">
        <v>0</v>
      </c>
      <c r="P17" s="148">
        <v>0</v>
      </c>
      <c r="Q17" s="148">
        <v>0</v>
      </c>
      <c r="R17" s="149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32"/>
      <c r="AB17" s="5">
        <f t="shared" si="1"/>
        <v>0</v>
      </c>
      <c r="AC17" s="5">
        <f t="shared" si="2"/>
        <v>0</v>
      </c>
      <c r="AD17" s="5">
        <f t="shared" si="3"/>
        <v>0</v>
      </c>
      <c r="AE17" s="37"/>
      <c r="AF17" s="7">
        <f t="shared" si="4"/>
        <v>11</v>
      </c>
      <c r="AG17" s="7">
        <f t="shared" si="5"/>
        <v>11</v>
      </c>
      <c r="AH17" s="7">
        <f t="shared" si="6"/>
        <v>11</v>
      </c>
      <c r="AI17" s="7">
        <f t="shared" si="7"/>
        <v>11</v>
      </c>
      <c r="AJ17" s="7">
        <f t="shared" si="8"/>
        <v>11</v>
      </c>
      <c r="AK17" s="7">
        <f t="shared" si="9"/>
        <v>11</v>
      </c>
      <c r="AL17" s="7">
        <f t="shared" si="10"/>
        <v>11</v>
      </c>
      <c r="AM17" s="80"/>
    </row>
    <row r="18" spans="1:39" ht="28.8" customHeight="1" x14ac:dyDescent="0.3">
      <c r="A18" s="59" t="s">
        <v>37</v>
      </c>
      <c r="B18" s="108">
        <v>0</v>
      </c>
      <c r="C18" s="106">
        <v>0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9">
        <v>0</v>
      </c>
      <c r="J18" s="146">
        <v>0</v>
      </c>
      <c r="K18" s="146">
        <v>0</v>
      </c>
      <c r="L18" s="146">
        <v>0</v>
      </c>
      <c r="M18" s="146">
        <v>0</v>
      </c>
      <c r="N18" s="148">
        <v>0</v>
      </c>
      <c r="O18" s="148">
        <v>0</v>
      </c>
      <c r="P18" s="148">
        <v>0</v>
      </c>
      <c r="Q18" s="148">
        <v>0</v>
      </c>
      <c r="R18" s="149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32"/>
      <c r="AB18" s="5">
        <f t="shared" si="1"/>
        <v>0</v>
      </c>
      <c r="AC18" s="5">
        <f t="shared" si="2"/>
        <v>0</v>
      </c>
      <c r="AD18" s="5">
        <f t="shared" si="3"/>
        <v>0</v>
      </c>
      <c r="AE18" s="37"/>
      <c r="AF18" s="7">
        <f t="shared" si="4"/>
        <v>11</v>
      </c>
      <c r="AG18" s="7">
        <f t="shared" si="5"/>
        <v>11</v>
      </c>
      <c r="AH18" s="7">
        <f t="shared" si="6"/>
        <v>11</v>
      </c>
      <c r="AI18" s="7">
        <f t="shared" si="7"/>
        <v>11</v>
      </c>
      <c r="AJ18" s="7">
        <f t="shared" si="8"/>
        <v>11</v>
      </c>
      <c r="AK18" s="7">
        <f t="shared" si="9"/>
        <v>11</v>
      </c>
      <c r="AL18" s="7">
        <f t="shared" si="10"/>
        <v>11</v>
      </c>
      <c r="AM18" s="80"/>
    </row>
    <row r="19" spans="1:39" ht="28.8" customHeight="1" x14ac:dyDescent="0.3">
      <c r="A19" s="59" t="s">
        <v>163</v>
      </c>
      <c r="B19" s="108">
        <v>0</v>
      </c>
      <c r="C19" s="106">
        <v>0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9">
        <v>0</v>
      </c>
      <c r="J19" s="146">
        <v>0</v>
      </c>
      <c r="K19" s="146">
        <v>0</v>
      </c>
      <c r="L19" s="146">
        <v>0</v>
      </c>
      <c r="M19" s="146">
        <v>0</v>
      </c>
      <c r="N19" s="148">
        <v>0</v>
      </c>
      <c r="O19" s="148">
        <v>0</v>
      </c>
      <c r="P19" s="148">
        <v>0</v>
      </c>
      <c r="Q19" s="148">
        <v>0</v>
      </c>
      <c r="R19" s="149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32"/>
      <c r="AB19" s="5">
        <f t="shared" si="1"/>
        <v>0</v>
      </c>
      <c r="AC19" s="5">
        <f t="shared" si="2"/>
        <v>0</v>
      </c>
      <c r="AD19" s="5">
        <f t="shared" si="3"/>
        <v>0</v>
      </c>
      <c r="AE19" s="37"/>
      <c r="AF19" s="7">
        <f t="shared" si="4"/>
        <v>11</v>
      </c>
      <c r="AG19" s="7">
        <f t="shared" si="5"/>
        <v>11</v>
      </c>
      <c r="AH19" s="7">
        <f t="shared" si="6"/>
        <v>11</v>
      </c>
      <c r="AI19" s="7">
        <f t="shared" si="7"/>
        <v>11</v>
      </c>
      <c r="AJ19" s="7">
        <f t="shared" si="8"/>
        <v>11</v>
      </c>
      <c r="AK19" s="7">
        <f t="shared" si="9"/>
        <v>11</v>
      </c>
      <c r="AL19" s="7">
        <f t="shared" si="10"/>
        <v>11</v>
      </c>
      <c r="AM19" s="80"/>
    </row>
    <row r="20" spans="1:39" ht="28.8" customHeight="1" x14ac:dyDescent="0.3">
      <c r="A20" s="59" t="s">
        <v>161</v>
      </c>
      <c r="B20" s="108">
        <v>0</v>
      </c>
      <c r="C20" s="106">
        <v>0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9">
        <v>0</v>
      </c>
      <c r="J20" s="146">
        <v>0</v>
      </c>
      <c r="K20" s="146">
        <v>0</v>
      </c>
      <c r="L20" s="146">
        <v>0</v>
      </c>
      <c r="M20" s="146">
        <v>0</v>
      </c>
      <c r="N20" s="148">
        <v>0</v>
      </c>
      <c r="O20" s="148">
        <v>0</v>
      </c>
      <c r="P20" s="148">
        <v>0</v>
      </c>
      <c r="Q20" s="148">
        <v>0</v>
      </c>
      <c r="R20" s="149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33"/>
      <c r="AB20" s="5">
        <f t="shared" si="1"/>
        <v>0</v>
      </c>
      <c r="AC20" s="5">
        <f t="shared" si="2"/>
        <v>0</v>
      </c>
      <c r="AD20" s="5">
        <f t="shared" si="3"/>
        <v>0</v>
      </c>
      <c r="AE20" s="37"/>
      <c r="AF20" s="7">
        <f t="shared" si="4"/>
        <v>11</v>
      </c>
      <c r="AG20" s="7">
        <f t="shared" si="5"/>
        <v>11</v>
      </c>
      <c r="AH20" s="7">
        <f t="shared" si="6"/>
        <v>11</v>
      </c>
      <c r="AI20" s="7">
        <f t="shared" si="7"/>
        <v>11</v>
      </c>
      <c r="AJ20" s="7">
        <f t="shared" si="8"/>
        <v>11</v>
      </c>
      <c r="AK20" s="7">
        <f t="shared" si="9"/>
        <v>11</v>
      </c>
      <c r="AL20" s="7">
        <f t="shared" si="10"/>
        <v>11</v>
      </c>
      <c r="AM20" s="80"/>
    </row>
  </sheetData>
  <sortState xmlns:xlrd2="http://schemas.microsoft.com/office/spreadsheetml/2017/richdata2" ref="A17:A19">
    <sortCondition ref="A17:A19"/>
  </sortState>
  <mergeCells count="2">
    <mergeCell ref="AB1:AD3"/>
    <mergeCell ref="AF1:AL3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C97A0-F5DE-4FEC-9FCD-6B7F192530BA}">
  <sheetPr codeName="Planilha2"/>
  <dimension ref="A1:AL39"/>
  <sheetViews>
    <sheetView topLeftCell="J1" zoomScale="70" zoomScaleNormal="70" workbookViewId="0">
      <selection activeCell="AK5" sqref="AK5:AK20"/>
    </sheetView>
  </sheetViews>
  <sheetFormatPr defaultRowHeight="14.4" x14ac:dyDescent="0.3"/>
  <cols>
    <col min="1" max="1" width="25.77734375" style="9" customWidth="1"/>
    <col min="2" max="15" width="10.5546875" style="10" customWidth="1"/>
    <col min="16" max="25" width="10.5546875" style="1" customWidth="1"/>
    <col min="26" max="26" width="3.5546875" style="1" customWidth="1"/>
    <col min="27" max="29" width="12.88671875" style="8" customWidth="1"/>
    <col min="30" max="30" width="3.5546875" style="8" customWidth="1"/>
    <col min="31" max="32" width="9.6640625" style="5" bestFit="1" customWidth="1"/>
    <col min="33" max="33" width="8.88671875" style="5"/>
    <col min="34" max="34" width="9.6640625" style="5" bestFit="1" customWidth="1"/>
    <col min="35" max="35" width="8.88671875" style="5"/>
    <col min="36" max="36" width="11.5546875" style="5" bestFit="1" customWidth="1"/>
    <col min="37" max="37" width="8.88671875" style="5"/>
    <col min="38" max="38" width="3.5546875" style="8" customWidth="1"/>
    <col min="39" max="16384" width="8.88671875" style="8"/>
  </cols>
  <sheetData>
    <row r="1" spans="1:38" s="2" customFormat="1" ht="15.6" customHeight="1" thickTop="1" thickBot="1" x14ac:dyDescent="0.35">
      <c r="A1" s="15"/>
      <c r="B1" s="162" t="s">
        <v>42</v>
      </c>
      <c r="C1" s="163"/>
      <c r="D1" s="163"/>
      <c r="E1" s="163"/>
      <c r="F1" s="163"/>
      <c r="G1" s="163"/>
      <c r="H1" s="164"/>
      <c r="I1" s="156" t="s">
        <v>82</v>
      </c>
      <c r="J1" s="156"/>
      <c r="K1" s="156"/>
      <c r="L1" s="156"/>
      <c r="M1" s="156"/>
      <c r="N1" s="156"/>
      <c r="O1" s="156"/>
      <c r="P1" s="156"/>
      <c r="Q1" s="156"/>
      <c r="R1" s="167"/>
      <c r="S1" s="173" t="s">
        <v>86</v>
      </c>
      <c r="T1" s="173"/>
      <c r="U1" s="173"/>
      <c r="V1" s="173"/>
      <c r="W1" s="173"/>
      <c r="X1" s="173"/>
      <c r="Y1" s="173"/>
      <c r="Z1" s="38"/>
      <c r="AA1" s="181" t="s">
        <v>101</v>
      </c>
      <c r="AB1" s="182"/>
      <c r="AC1" s="182"/>
      <c r="AD1" s="43"/>
      <c r="AE1" s="181" t="s">
        <v>102</v>
      </c>
      <c r="AF1" s="182"/>
      <c r="AG1" s="182"/>
      <c r="AH1" s="182"/>
      <c r="AI1" s="182"/>
      <c r="AJ1" s="182"/>
      <c r="AK1" s="182"/>
      <c r="AL1" s="43"/>
    </row>
    <row r="2" spans="1:38" s="2" customFormat="1" ht="17.399999999999999" customHeight="1" thickTop="1" x14ac:dyDescent="0.3">
      <c r="A2" s="15"/>
      <c r="B2" s="174" t="s">
        <v>6</v>
      </c>
      <c r="C2" s="175"/>
      <c r="D2" s="176"/>
      <c r="E2" s="165" t="s">
        <v>8</v>
      </c>
      <c r="F2" s="176"/>
      <c r="G2" s="165" t="s">
        <v>120</v>
      </c>
      <c r="H2" s="166"/>
      <c r="I2" s="157" t="s">
        <v>83</v>
      </c>
      <c r="J2" s="157"/>
      <c r="K2" s="157"/>
      <c r="L2" s="158" t="s">
        <v>84</v>
      </c>
      <c r="M2" s="158"/>
      <c r="N2" s="158"/>
      <c r="O2" s="168" t="s">
        <v>85</v>
      </c>
      <c r="P2" s="168"/>
      <c r="Q2" s="168"/>
      <c r="R2" s="169"/>
      <c r="S2" s="170" t="s">
        <v>62</v>
      </c>
      <c r="T2" s="171"/>
      <c r="U2" s="172"/>
      <c r="V2" s="170" t="s">
        <v>94</v>
      </c>
      <c r="W2" s="172"/>
      <c r="X2" s="170" t="s">
        <v>95</v>
      </c>
      <c r="Y2" s="172"/>
      <c r="Z2" s="39"/>
      <c r="AA2" s="181"/>
      <c r="AB2" s="182"/>
      <c r="AC2" s="182"/>
      <c r="AD2" s="43"/>
      <c r="AE2" s="181"/>
      <c r="AF2" s="182"/>
      <c r="AG2" s="182"/>
      <c r="AH2" s="182"/>
      <c r="AI2" s="182"/>
      <c r="AJ2" s="182"/>
      <c r="AK2" s="182"/>
      <c r="AL2" s="43"/>
    </row>
    <row r="3" spans="1:38" s="3" customFormat="1" ht="15.6" x14ac:dyDescent="0.3">
      <c r="A3" s="16" t="s">
        <v>1</v>
      </c>
      <c r="B3" s="24">
        <v>2</v>
      </c>
      <c r="C3" s="11">
        <v>1</v>
      </c>
      <c r="D3" s="11">
        <v>-2</v>
      </c>
      <c r="E3" s="11">
        <v>1</v>
      </c>
      <c r="F3" s="11">
        <v>1</v>
      </c>
      <c r="G3" s="11">
        <v>1</v>
      </c>
      <c r="H3" s="25">
        <v>-1</v>
      </c>
      <c r="I3" s="17">
        <v>-1</v>
      </c>
      <c r="J3" s="11">
        <v>1</v>
      </c>
      <c r="K3" s="11">
        <v>-1</v>
      </c>
      <c r="L3" s="11">
        <v>-1</v>
      </c>
      <c r="M3" s="11">
        <v>2</v>
      </c>
      <c r="N3" s="11">
        <v>-2</v>
      </c>
      <c r="O3" s="11">
        <v>1</v>
      </c>
      <c r="P3" s="11">
        <v>-1</v>
      </c>
      <c r="Q3" s="11">
        <v>1</v>
      </c>
      <c r="R3" s="11">
        <v>-1</v>
      </c>
      <c r="S3" s="11">
        <v>-2</v>
      </c>
      <c r="T3" s="11">
        <v>-3</v>
      </c>
      <c r="U3" s="11">
        <v>1</v>
      </c>
      <c r="V3" s="11">
        <v>-1</v>
      </c>
      <c r="W3" s="11">
        <v>1</v>
      </c>
      <c r="X3" s="11">
        <v>1</v>
      </c>
      <c r="Y3" s="11">
        <v>-2</v>
      </c>
      <c r="Z3" s="40"/>
      <c r="AA3" s="181"/>
      <c r="AB3" s="182"/>
      <c r="AC3" s="182"/>
      <c r="AD3" s="43"/>
      <c r="AE3" s="181"/>
      <c r="AF3" s="182"/>
      <c r="AG3" s="182"/>
      <c r="AH3" s="182"/>
      <c r="AI3" s="182"/>
      <c r="AJ3" s="182"/>
      <c r="AK3" s="182"/>
      <c r="AL3" s="43"/>
    </row>
    <row r="4" spans="1:38" s="4" customFormat="1" ht="40.799999999999997" x14ac:dyDescent="0.2">
      <c r="A4" s="107" t="s">
        <v>2</v>
      </c>
      <c r="B4" s="26" t="s">
        <v>67</v>
      </c>
      <c r="C4" s="14" t="s">
        <v>68</v>
      </c>
      <c r="D4" s="14" t="s">
        <v>69</v>
      </c>
      <c r="E4" s="14" t="s">
        <v>9</v>
      </c>
      <c r="F4" s="14" t="s">
        <v>10</v>
      </c>
      <c r="G4" s="14" t="s">
        <v>70</v>
      </c>
      <c r="H4" s="27" t="s">
        <v>71</v>
      </c>
      <c r="I4" s="23" t="s">
        <v>72</v>
      </c>
      <c r="J4" s="14" t="s">
        <v>73</v>
      </c>
      <c r="K4" s="14" t="s">
        <v>74</v>
      </c>
      <c r="L4" s="14" t="s">
        <v>75</v>
      </c>
      <c r="M4" s="14" t="s">
        <v>76</v>
      </c>
      <c r="N4" s="14" t="s">
        <v>77</v>
      </c>
      <c r="O4" s="14" t="s">
        <v>78</v>
      </c>
      <c r="P4" s="14" t="s">
        <v>79</v>
      </c>
      <c r="Q4" s="14" t="s">
        <v>80</v>
      </c>
      <c r="R4" s="14" t="s">
        <v>81</v>
      </c>
      <c r="S4" s="14" t="s">
        <v>87</v>
      </c>
      <c r="T4" s="14" t="s">
        <v>88</v>
      </c>
      <c r="U4" s="14" t="s">
        <v>89</v>
      </c>
      <c r="V4" s="14" t="s">
        <v>90</v>
      </c>
      <c r="W4" s="14" t="s">
        <v>91</v>
      </c>
      <c r="X4" s="14" t="s">
        <v>92</v>
      </c>
      <c r="Y4" s="14" t="s">
        <v>93</v>
      </c>
      <c r="Z4" s="41"/>
      <c r="AA4" s="74" t="s">
        <v>99</v>
      </c>
      <c r="AB4" s="74" t="s">
        <v>100</v>
      </c>
      <c r="AC4" s="74" t="s">
        <v>96</v>
      </c>
      <c r="AD4" s="44"/>
      <c r="AE4" s="74" t="s">
        <v>119</v>
      </c>
      <c r="AF4" s="74" t="s">
        <v>124</v>
      </c>
      <c r="AG4" s="74" t="s">
        <v>125</v>
      </c>
      <c r="AH4" s="74" t="s">
        <v>121</v>
      </c>
      <c r="AI4" s="74" t="s">
        <v>122</v>
      </c>
      <c r="AJ4" s="74" t="s">
        <v>117</v>
      </c>
      <c r="AK4" s="74" t="s">
        <v>123</v>
      </c>
      <c r="AL4" s="44"/>
    </row>
    <row r="5" spans="1:38" s="6" customFormat="1" ht="28.8" customHeight="1" x14ac:dyDescent="0.3">
      <c r="A5" s="59" t="s">
        <v>166</v>
      </c>
      <c r="B5" s="111">
        <v>1</v>
      </c>
      <c r="C5" s="106">
        <v>1</v>
      </c>
      <c r="D5" s="106">
        <v>1</v>
      </c>
      <c r="E5" s="106">
        <v>1</v>
      </c>
      <c r="F5" s="106">
        <v>1</v>
      </c>
      <c r="G5" s="106">
        <v>1</v>
      </c>
      <c r="H5" s="106">
        <v>1</v>
      </c>
      <c r="I5" s="146">
        <v>1</v>
      </c>
      <c r="J5" s="147">
        <v>1</v>
      </c>
      <c r="K5" s="147">
        <v>1</v>
      </c>
      <c r="L5" s="148">
        <v>1</v>
      </c>
      <c r="M5" s="148">
        <v>1</v>
      </c>
      <c r="N5" s="148">
        <v>0</v>
      </c>
      <c r="O5" s="149">
        <v>1</v>
      </c>
      <c r="P5" s="149">
        <v>1</v>
      </c>
      <c r="Q5" s="149">
        <v>1</v>
      </c>
      <c r="R5" s="149">
        <v>1</v>
      </c>
      <c r="S5" s="106">
        <v>1</v>
      </c>
      <c r="T5" s="106">
        <v>1</v>
      </c>
      <c r="U5" s="106">
        <v>1</v>
      </c>
      <c r="V5" s="106">
        <v>1</v>
      </c>
      <c r="W5" s="106">
        <v>1</v>
      </c>
      <c r="X5" s="106">
        <v>1</v>
      </c>
      <c r="Y5" s="106">
        <v>1</v>
      </c>
      <c r="Z5" s="42"/>
      <c r="AA5" s="5">
        <f t="shared" ref="AA5:AA20" si="0">(B5*$B$3)+(C5*$C$3)+(D5*$D$3)+(E5*$E$3)+(F5*$F$3)+(G5*$G$3)+(H5*$H$3)+(I5*$I$3)+(J5*$J$3)+(K5*$K$3)</f>
        <v>2</v>
      </c>
      <c r="AB5" s="5">
        <f>(L5*L$3)+(M5*M$3)+(N5*N$3)+(O5*O$3)+(P5*P$3)+(Q5*Q$3)+(R5*R$3)+(B5*B$3)+(C5*C$3)+(D5*D$3)</f>
        <v>2</v>
      </c>
      <c r="AC5" s="5">
        <f>(Y5*Y$3)+(X5*X$3)+(W5*W$3)+(V5*V$3)+(U5*U$3)+(T5*T$3)+(S5*S$3)</f>
        <v>-5</v>
      </c>
      <c r="AD5" s="45"/>
      <c r="AE5" s="7">
        <f>IFERROR(((B5*B$3)+(C5*C$3))*100/((B5*B$3)+(C5*C$3)+(D5*2)),11)</f>
        <v>60</v>
      </c>
      <c r="AF5" s="7">
        <f>IFERROR((G5*50/SUM(G5:H5))+((SUM(E5:F5)*6))+((SUM(B5:C5)*2)),11)</f>
        <v>41</v>
      </c>
      <c r="AG5" s="7">
        <f>IFERROR(SUM(B5,C5,'FASE OFENSIVA'!E5)*100/((SUM(D5,'FASE OFENSIVA'!F5))+(SUM(B5,C5,'FASE OFENSIVA'!E5))),11)</f>
        <v>66.666666666666671</v>
      </c>
      <c r="AH5" s="7">
        <f>IFERROR((AF5/2)+(J5*50/(SUM(I5:K5))),11)</f>
        <v>37.166666666666671</v>
      </c>
      <c r="AI5" s="7">
        <f>IFERROR((AE5*0.3)+(M5*2*30/(SUM(L5:N5,M5:N5)))+(SUM(O5:Q5)*40/SUM(O5:R5)),11)</f>
        <v>68</v>
      </c>
      <c r="AJ5" s="7">
        <f>IFERROR((U5*70/((S5*S$3*-1)+(T5*T$3*-1)+U5))+(X5*30/SUM(X5:Y5)),11)</f>
        <v>26.666666666666664</v>
      </c>
      <c r="AK5" s="7">
        <f>IFERROR((W5+X5)*200/(SUM(V5:Y5)+SUM(W5:Y5)),11)</f>
        <v>57.142857142857146</v>
      </c>
      <c r="AL5" s="45"/>
    </row>
    <row r="6" spans="1:38" s="6" customFormat="1" ht="28.8" customHeight="1" x14ac:dyDescent="0.3">
      <c r="A6" s="59" t="s">
        <v>26</v>
      </c>
      <c r="B6" s="111">
        <v>0</v>
      </c>
      <c r="C6" s="106">
        <v>0</v>
      </c>
      <c r="D6" s="106">
        <v>0</v>
      </c>
      <c r="E6" s="106">
        <v>0</v>
      </c>
      <c r="F6" s="106">
        <v>0</v>
      </c>
      <c r="G6" s="106">
        <v>0</v>
      </c>
      <c r="H6" s="112">
        <v>0</v>
      </c>
      <c r="I6" s="146">
        <v>0</v>
      </c>
      <c r="J6" s="147">
        <v>0</v>
      </c>
      <c r="K6" s="147">
        <v>0</v>
      </c>
      <c r="L6" s="148">
        <v>0</v>
      </c>
      <c r="M6" s="148">
        <v>0</v>
      </c>
      <c r="N6" s="148">
        <v>0</v>
      </c>
      <c r="O6" s="149">
        <v>0</v>
      </c>
      <c r="P6" s="149">
        <v>0</v>
      </c>
      <c r="Q6" s="149">
        <v>0</v>
      </c>
      <c r="R6" s="149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42"/>
      <c r="AA6" s="5">
        <f t="shared" si="0"/>
        <v>0</v>
      </c>
      <c r="AB6" s="5">
        <f t="shared" ref="AB6:AB20" si="1">(L6*L$3)+(M6*M$3)+(N6*N$3)+(O6*O$3)+(P6*P$3)+(Q6*Q$3)+(R6*R$3)+(B6*B$3)+(C6*C$3)+(D6*D$3)</f>
        <v>0</v>
      </c>
      <c r="AC6" s="5">
        <f t="shared" ref="AC6:AC20" si="2">(Y6*Y$3)+(X6*X$3)+(W6*W$3)+(V6*V$3)+(U6*U$3)+(T6*T$3)+(S6*S$3)</f>
        <v>0</v>
      </c>
      <c r="AD6" s="45"/>
      <c r="AE6" s="7">
        <f t="shared" ref="AE6:AE20" si="3">IFERROR(((B6*B$3)+(C6*C$3))*100/((B6*B$3)+(C6*C$3)+(D6*2)),11)</f>
        <v>11</v>
      </c>
      <c r="AF6" s="7">
        <f t="shared" ref="AF6:AF20" si="4">IFERROR((G6*50/SUM(G6:H6))+((SUM(E6:F6)*6))+((SUM(B6:C6)*2)),11)</f>
        <v>11</v>
      </c>
      <c r="AG6" s="7">
        <f>IFERROR(SUM(B6,C6,'FASE OFENSIVA'!E6)*100/((SUM(D6,'FASE OFENSIVA'!F6))+(SUM(B6,C6,'FASE OFENSIVA'!E6))),11)</f>
        <v>11</v>
      </c>
      <c r="AH6" s="7">
        <f t="shared" ref="AH6:AH20" si="5">IFERROR((AF6/2)+(J6*50/(SUM(I6:K6))),11)</f>
        <v>11</v>
      </c>
      <c r="AI6" s="7">
        <f t="shared" ref="AI6:AI20" si="6">IFERROR((AE6*0.3)+(M6*2*30/(SUM(L6:N6,M6:N6)))+(SUM(O6:Q6)*40/SUM(O6:R6)),11)</f>
        <v>11</v>
      </c>
      <c r="AJ6" s="7">
        <f t="shared" ref="AJ6:AJ20" si="7">IFERROR((U6*70/((S6*S$3*-1)+(T6*T$3*-1)+U6))+(X6*30/SUM(X6:Y6)),11)</f>
        <v>11</v>
      </c>
      <c r="AK6" s="7">
        <f t="shared" ref="AK6:AK20" si="8">IFERROR((W6+X6)*200/(SUM(V6:Y6)+SUM(W6:Y6)),11)</f>
        <v>11</v>
      </c>
      <c r="AL6" s="45"/>
    </row>
    <row r="7" spans="1:38" s="6" customFormat="1" ht="28.8" customHeight="1" x14ac:dyDescent="0.3">
      <c r="A7" s="59" t="s">
        <v>24</v>
      </c>
      <c r="B7" s="111">
        <v>0</v>
      </c>
      <c r="C7" s="106">
        <v>0</v>
      </c>
      <c r="D7" s="106">
        <v>0</v>
      </c>
      <c r="E7" s="106">
        <v>0</v>
      </c>
      <c r="F7" s="106">
        <v>0</v>
      </c>
      <c r="G7" s="106">
        <v>0</v>
      </c>
      <c r="H7" s="112">
        <v>0</v>
      </c>
      <c r="I7" s="146">
        <v>0</v>
      </c>
      <c r="J7" s="147">
        <v>0</v>
      </c>
      <c r="K7" s="147">
        <v>0</v>
      </c>
      <c r="L7" s="148">
        <v>0</v>
      </c>
      <c r="M7" s="148">
        <v>0</v>
      </c>
      <c r="N7" s="148">
        <v>0</v>
      </c>
      <c r="O7" s="149">
        <v>0</v>
      </c>
      <c r="P7" s="149">
        <v>0</v>
      </c>
      <c r="Q7" s="149">
        <v>0</v>
      </c>
      <c r="R7" s="149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42"/>
      <c r="AA7" s="5">
        <f t="shared" si="0"/>
        <v>0</v>
      </c>
      <c r="AB7" s="5">
        <f t="shared" si="1"/>
        <v>0</v>
      </c>
      <c r="AC7" s="5">
        <f t="shared" si="2"/>
        <v>0</v>
      </c>
      <c r="AD7" s="45"/>
      <c r="AE7" s="7">
        <f t="shared" si="3"/>
        <v>11</v>
      </c>
      <c r="AF7" s="7">
        <f t="shared" si="4"/>
        <v>11</v>
      </c>
      <c r="AG7" s="7">
        <f>IFERROR(SUM(B7,C7,'FASE OFENSIVA'!E7)*100/((SUM(D7,'FASE OFENSIVA'!F7))+(SUM(B7,C7,'FASE OFENSIVA'!E7))),11)</f>
        <v>11</v>
      </c>
      <c r="AH7" s="7">
        <f t="shared" si="5"/>
        <v>11</v>
      </c>
      <c r="AI7" s="7">
        <f t="shared" si="6"/>
        <v>11</v>
      </c>
      <c r="AJ7" s="7">
        <f t="shared" si="7"/>
        <v>11</v>
      </c>
      <c r="AK7" s="7">
        <f t="shared" si="8"/>
        <v>11</v>
      </c>
      <c r="AL7" s="45"/>
    </row>
    <row r="8" spans="1:38" s="6" customFormat="1" ht="28.8" customHeight="1" x14ac:dyDescent="0.3">
      <c r="A8" s="59" t="s">
        <v>27</v>
      </c>
      <c r="B8" s="111">
        <v>0</v>
      </c>
      <c r="C8" s="106">
        <v>0</v>
      </c>
      <c r="D8" s="106">
        <v>0</v>
      </c>
      <c r="E8" s="106">
        <v>0</v>
      </c>
      <c r="F8" s="106">
        <v>0</v>
      </c>
      <c r="G8" s="106">
        <v>0</v>
      </c>
      <c r="H8" s="112">
        <v>0</v>
      </c>
      <c r="I8" s="146">
        <v>0</v>
      </c>
      <c r="J8" s="147">
        <v>0</v>
      </c>
      <c r="K8" s="147">
        <v>0</v>
      </c>
      <c r="L8" s="148">
        <v>0</v>
      </c>
      <c r="M8" s="148">
        <v>0</v>
      </c>
      <c r="N8" s="148">
        <v>0</v>
      </c>
      <c r="O8" s="149">
        <v>0</v>
      </c>
      <c r="P8" s="149">
        <v>0</v>
      </c>
      <c r="Q8" s="149">
        <v>0</v>
      </c>
      <c r="R8" s="149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42"/>
      <c r="AA8" s="5">
        <f t="shared" si="0"/>
        <v>0</v>
      </c>
      <c r="AB8" s="5">
        <f t="shared" si="1"/>
        <v>0</v>
      </c>
      <c r="AC8" s="5">
        <f t="shared" si="2"/>
        <v>0</v>
      </c>
      <c r="AD8" s="45"/>
      <c r="AE8" s="7">
        <f t="shared" si="3"/>
        <v>11</v>
      </c>
      <c r="AF8" s="7">
        <f t="shared" si="4"/>
        <v>11</v>
      </c>
      <c r="AG8" s="7">
        <f>IFERROR(SUM(B8,C8,'FASE OFENSIVA'!E8)*100/((SUM(D8,'FASE OFENSIVA'!F8))+(SUM(B8,C8,'FASE OFENSIVA'!E8))),11)</f>
        <v>11</v>
      </c>
      <c r="AH8" s="7">
        <f t="shared" si="5"/>
        <v>11</v>
      </c>
      <c r="AI8" s="7">
        <f t="shared" si="6"/>
        <v>11</v>
      </c>
      <c r="AJ8" s="7">
        <f t="shared" si="7"/>
        <v>11</v>
      </c>
      <c r="AK8" s="7">
        <f t="shared" si="8"/>
        <v>11</v>
      </c>
      <c r="AL8" s="45"/>
    </row>
    <row r="9" spans="1:38" s="6" customFormat="1" ht="28.8" customHeight="1" x14ac:dyDescent="0.3">
      <c r="A9" s="59" t="s">
        <v>31</v>
      </c>
      <c r="B9" s="111">
        <v>0</v>
      </c>
      <c r="C9" s="106">
        <v>0</v>
      </c>
      <c r="D9" s="106">
        <v>0</v>
      </c>
      <c r="E9" s="106">
        <v>0</v>
      </c>
      <c r="F9" s="106">
        <v>0</v>
      </c>
      <c r="G9" s="106">
        <v>0</v>
      </c>
      <c r="H9" s="112">
        <v>0</v>
      </c>
      <c r="I9" s="146">
        <v>0</v>
      </c>
      <c r="J9" s="147">
        <v>0</v>
      </c>
      <c r="K9" s="147">
        <v>0</v>
      </c>
      <c r="L9" s="148">
        <v>0</v>
      </c>
      <c r="M9" s="148">
        <v>0</v>
      </c>
      <c r="N9" s="148">
        <v>0</v>
      </c>
      <c r="O9" s="149">
        <v>0</v>
      </c>
      <c r="P9" s="149">
        <v>0</v>
      </c>
      <c r="Q9" s="149">
        <v>0</v>
      </c>
      <c r="R9" s="149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42"/>
      <c r="AA9" s="5">
        <f>(B9*$B$3)+(C9*$C$3)+(D9*$D$3)+(E9*$E$3)+(F9*$F$3)+(G9*$G$3)+(H9*$H$3)+(I9*$I$3)+(J9*$J$3)+(K9*$K$3)</f>
        <v>0</v>
      </c>
      <c r="AB9" s="5">
        <f t="shared" si="1"/>
        <v>0</v>
      </c>
      <c r="AC9" s="5">
        <f t="shared" si="2"/>
        <v>0</v>
      </c>
      <c r="AD9" s="45"/>
      <c r="AE9" s="7">
        <f t="shared" si="3"/>
        <v>11</v>
      </c>
      <c r="AF9" s="7">
        <f t="shared" si="4"/>
        <v>11</v>
      </c>
      <c r="AG9" s="7">
        <f>IFERROR(SUM(B9,C9,'FASE OFENSIVA'!E9)*100/((SUM(D9,'FASE OFENSIVA'!F9))+(SUM(B9,C9,'FASE OFENSIVA'!E9))),11)</f>
        <v>11</v>
      </c>
      <c r="AH9" s="7">
        <f t="shared" si="5"/>
        <v>11</v>
      </c>
      <c r="AI9" s="7">
        <f t="shared" si="6"/>
        <v>11</v>
      </c>
      <c r="AJ9" s="7">
        <f t="shared" si="7"/>
        <v>11</v>
      </c>
      <c r="AK9" s="7">
        <f t="shared" si="8"/>
        <v>11</v>
      </c>
      <c r="AL9" s="45"/>
    </row>
    <row r="10" spans="1:38" s="6" customFormat="1" ht="28.8" customHeight="1" x14ac:dyDescent="0.3">
      <c r="A10" s="59" t="s">
        <v>29</v>
      </c>
      <c r="B10" s="111">
        <v>0</v>
      </c>
      <c r="C10" s="106">
        <v>0</v>
      </c>
      <c r="D10" s="106">
        <v>0</v>
      </c>
      <c r="E10" s="106">
        <v>0</v>
      </c>
      <c r="F10" s="106">
        <v>0</v>
      </c>
      <c r="G10" s="106">
        <v>0</v>
      </c>
      <c r="H10" s="112">
        <v>0</v>
      </c>
      <c r="I10" s="146">
        <v>0</v>
      </c>
      <c r="J10" s="147">
        <v>0</v>
      </c>
      <c r="K10" s="147">
        <v>0</v>
      </c>
      <c r="L10" s="148">
        <v>0</v>
      </c>
      <c r="M10" s="148">
        <v>0</v>
      </c>
      <c r="N10" s="148">
        <v>0</v>
      </c>
      <c r="O10" s="149">
        <v>0</v>
      </c>
      <c r="P10" s="149">
        <v>0</v>
      </c>
      <c r="Q10" s="149">
        <v>0</v>
      </c>
      <c r="R10" s="149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42"/>
      <c r="AA10" s="5">
        <f t="shared" si="0"/>
        <v>0</v>
      </c>
      <c r="AB10" s="5">
        <f t="shared" si="1"/>
        <v>0</v>
      </c>
      <c r="AC10" s="5">
        <f t="shared" si="2"/>
        <v>0</v>
      </c>
      <c r="AD10" s="45"/>
      <c r="AE10" s="7">
        <f t="shared" si="3"/>
        <v>11</v>
      </c>
      <c r="AF10" s="7">
        <f t="shared" si="4"/>
        <v>11</v>
      </c>
      <c r="AG10" s="7">
        <f>IFERROR(SUM(B10,C10,'FASE OFENSIVA'!E10)*100/((SUM(D10,'FASE OFENSIVA'!F10))+(SUM(B10,C10,'FASE OFENSIVA'!E10))),11)</f>
        <v>11</v>
      </c>
      <c r="AH10" s="7">
        <f t="shared" si="5"/>
        <v>11</v>
      </c>
      <c r="AI10" s="7">
        <f t="shared" si="6"/>
        <v>11</v>
      </c>
      <c r="AJ10" s="7">
        <f t="shared" si="7"/>
        <v>11</v>
      </c>
      <c r="AK10" s="7">
        <f t="shared" si="8"/>
        <v>11</v>
      </c>
      <c r="AL10" s="45"/>
    </row>
    <row r="11" spans="1:38" s="6" customFormat="1" ht="28.8" customHeight="1" x14ac:dyDescent="0.3">
      <c r="A11" s="59" t="s">
        <v>28</v>
      </c>
      <c r="B11" s="111">
        <v>0</v>
      </c>
      <c r="C11" s="106">
        <v>0</v>
      </c>
      <c r="D11" s="106">
        <v>0</v>
      </c>
      <c r="E11" s="106">
        <v>0</v>
      </c>
      <c r="F11" s="106">
        <v>0</v>
      </c>
      <c r="G11" s="106">
        <v>0</v>
      </c>
      <c r="H11" s="112">
        <v>0</v>
      </c>
      <c r="I11" s="146">
        <v>0</v>
      </c>
      <c r="J11" s="147">
        <v>0</v>
      </c>
      <c r="K11" s="147">
        <v>0</v>
      </c>
      <c r="L11" s="148">
        <v>0</v>
      </c>
      <c r="M11" s="148">
        <v>0</v>
      </c>
      <c r="N11" s="148">
        <v>0</v>
      </c>
      <c r="O11" s="149">
        <v>0</v>
      </c>
      <c r="P11" s="149">
        <v>0</v>
      </c>
      <c r="Q11" s="149">
        <v>0</v>
      </c>
      <c r="R11" s="149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42"/>
      <c r="AA11" s="5">
        <f t="shared" si="0"/>
        <v>0</v>
      </c>
      <c r="AB11" s="5">
        <f t="shared" si="1"/>
        <v>0</v>
      </c>
      <c r="AC11" s="5">
        <f t="shared" si="2"/>
        <v>0</v>
      </c>
      <c r="AD11" s="45"/>
      <c r="AE11" s="7">
        <f t="shared" si="3"/>
        <v>11</v>
      </c>
      <c r="AF11" s="7">
        <f t="shared" si="4"/>
        <v>11</v>
      </c>
      <c r="AG11" s="7">
        <f>IFERROR(SUM(B11,C11,'FASE OFENSIVA'!E11)*100/((SUM(D11,'FASE OFENSIVA'!F11))+(SUM(B11,C11,'FASE OFENSIVA'!E11))),11)</f>
        <v>11</v>
      </c>
      <c r="AH11" s="7">
        <f t="shared" si="5"/>
        <v>11</v>
      </c>
      <c r="AI11" s="7">
        <f t="shared" si="6"/>
        <v>11</v>
      </c>
      <c r="AJ11" s="7">
        <f t="shared" si="7"/>
        <v>11</v>
      </c>
      <c r="AK11" s="7">
        <f t="shared" si="8"/>
        <v>11</v>
      </c>
      <c r="AL11" s="45"/>
    </row>
    <row r="12" spans="1:38" s="6" customFormat="1" ht="28.8" customHeight="1" x14ac:dyDescent="0.3">
      <c r="A12" s="59" t="s">
        <v>30</v>
      </c>
      <c r="B12" s="111">
        <v>0</v>
      </c>
      <c r="C12" s="106">
        <v>0</v>
      </c>
      <c r="D12" s="106">
        <v>0</v>
      </c>
      <c r="E12" s="106">
        <v>0</v>
      </c>
      <c r="F12" s="106">
        <v>0</v>
      </c>
      <c r="G12" s="106">
        <v>0</v>
      </c>
      <c r="H12" s="112">
        <v>0</v>
      </c>
      <c r="I12" s="146">
        <v>0</v>
      </c>
      <c r="J12" s="147">
        <v>0</v>
      </c>
      <c r="K12" s="147">
        <v>0</v>
      </c>
      <c r="L12" s="148">
        <v>0</v>
      </c>
      <c r="M12" s="148">
        <v>0</v>
      </c>
      <c r="N12" s="148">
        <v>0</v>
      </c>
      <c r="O12" s="149">
        <v>0</v>
      </c>
      <c r="P12" s="149">
        <v>0</v>
      </c>
      <c r="Q12" s="149">
        <v>0</v>
      </c>
      <c r="R12" s="149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42"/>
      <c r="AA12" s="5">
        <f t="shared" si="0"/>
        <v>0</v>
      </c>
      <c r="AB12" s="5">
        <f t="shared" si="1"/>
        <v>0</v>
      </c>
      <c r="AC12" s="5">
        <f t="shared" si="2"/>
        <v>0</v>
      </c>
      <c r="AD12" s="45"/>
      <c r="AE12" s="7">
        <f t="shared" si="3"/>
        <v>11</v>
      </c>
      <c r="AF12" s="7">
        <f t="shared" si="4"/>
        <v>11</v>
      </c>
      <c r="AG12" s="7">
        <f>IFERROR(SUM(B12,C12,'FASE OFENSIVA'!E12)*100/((SUM(D12,'FASE OFENSIVA'!F12))+(SUM(B12,C12,'FASE OFENSIVA'!E12))),11)</f>
        <v>0</v>
      </c>
      <c r="AH12" s="7">
        <f t="shared" si="5"/>
        <v>11</v>
      </c>
      <c r="AI12" s="7">
        <f t="shared" si="6"/>
        <v>11</v>
      </c>
      <c r="AJ12" s="7">
        <f t="shared" si="7"/>
        <v>11</v>
      </c>
      <c r="AK12" s="7">
        <f t="shared" si="8"/>
        <v>11</v>
      </c>
      <c r="AL12" s="45"/>
    </row>
    <row r="13" spans="1:38" s="6" customFormat="1" ht="28.8" customHeight="1" x14ac:dyDescent="0.3">
      <c r="A13" s="59" t="s">
        <v>33</v>
      </c>
      <c r="B13" s="111">
        <v>0</v>
      </c>
      <c r="C13" s="106">
        <v>0</v>
      </c>
      <c r="D13" s="106">
        <v>0</v>
      </c>
      <c r="E13" s="106">
        <v>0</v>
      </c>
      <c r="F13" s="106">
        <v>0</v>
      </c>
      <c r="G13" s="106">
        <v>0</v>
      </c>
      <c r="H13" s="112">
        <v>0</v>
      </c>
      <c r="I13" s="146">
        <v>0</v>
      </c>
      <c r="J13" s="147">
        <v>0</v>
      </c>
      <c r="K13" s="147">
        <v>0</v>
      </c>
      <c r="L13" s="148">
        <v>0</v>
      </c>
      <c r="M13" s="148">
        <v>0</v>
      </c>
      <c r="N13" s="148">
        <v>0</v>
      </c>
      <c r="O13" s="149">
        <v>0</v>
      </c>
      <c r="P13" s="149">
        <v>0</v>
      </c>
      <c r="Q13" s="149">
        <v>0</v>
      </c>
      <c r="R13" s="149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42"/>
      <c r="AA13" s="5">
        <f t="shared" si="0"/>
        <v>0</v>
      </c>
      <c r="AB13" s="5">
        <f t="shared" si="1"/>
        <v>0</v>
      </c>
      <c r="AC13" s="5">
        <f t="shared" si="2"/>
        <v>0</v>
      </c>
      <c r="AD13" s="45"/>
      <c r="AE13" s="7">
        <f t="shared" si="3"/>
        <v>11</v>
      </c>
      <c r="AF13" s="7">
        <f t="shared" si="4"/>
        <v>11</v>
      </c>
      <c r="AG13" s="7">
        <f>IFERROR(SUM(B13,C13,'FASE OFENSIVA'!E13)*100/((SUM(D13,'FASE OFENSIVA'!F13))+(SUM(B13,C13,'FASE OFENSIVA'!E13))),11)</f>
        <v>11</v>
      </c>
      <c r="AH13" s="7">
        <f t="shared" si="5"/>
        <v>11</v>
      </c>
      <c r="AI13" s="7">
        <f t="shared" si="6"/>
        <v>11</v>
      </c>
      <c r="AJ13" s="7">
        <f t="shared" si="7"/>
        <v>11</v>
      </c>
      <c r="AK13" s="7">
        <f t="shared" si="8"/>
        <v>11</v>
      </c>
      <c r="AL13" s="45"/>
    </row>
    <row r="14" spans="1:38" s="6" customFormat="1" ht="28.8" customHeight="1" x14ac:dyDescent="0.3">
      <c r="A14" s="59" t="s">
        <v>162</v>
      </c>
      <c r="B14" s="111">
        <v>0</v>
      </c>
      <c r="C14" s="106">
        <v>0</v>
      </c>
      <c r="D14" s="106">
        <v>0</v>
      </c>
      <c r="E14" s="106">
        <v>0</v>
      </c>
      <c r="F14" s="106">
        <v>0</v>
      </c>
      <c r="G14" s="106">
        <v>0</v>
      </c>
      <c r="H14" s="112">
        <v>0</v>
      </c>
      <c r="I14" s="146">
        <v>0</v>
      </c>
      <c r="J14" s="147">
        <v>0</v>
      </c>
      <c r="K14" s="147">
        <v>0</v>
      </c>
      <c r="L14" s="148">
        <v>0</v>
      </c>
      <c r="M14" s="148">
        <v>0</v>
      </c>
      <c r="N14" s="148">
        <v>0</v>
      </c>
      <c r="O14" s="149">
        <v>0</v>
      </c>
      <c r="P14" s="149">
        <v>0</v>
      </c>
      <c r="Q14" s="149">
        <v>0</v>
      </c>
      <c r="R14" s="149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42"/>
      <c r="AA14" s="5">
        <f t="shared" si="0"/>
        <v>0</v>
      </c>
      <c r="AB14" s="5">
        <f t="shared" si="1"/>
        <v>0</v>
      </c>
      <c r="AC14" s="5">
        <f t="shared" si="2"/>
        <v>0</v>
      </c>
      <c r="AD14" s="45"/>
      <c r="AE14" s="7">
        <f t="shared" si="3"/>
        <v>11</v>
      </c>
      <c r="AF14" s="7">
        <f t="shared" si="4"/>
        <v>11</v>
      </c>
      <c r="AG14" s="7">
        <f>IFERROR(SUM(B14,C14,'FASE OFENSIVA'!E14)*100/((SUM(D14,'FASE OFENSIVA'!F14))+(SUM(B14,C14,'FASE OFENSIVA'!E14))),11)</f>
        <v>11</v>
      </c>
      <c r="AH14" s="7">
        <f t="shared" si="5"/>
        <v>11</v>
      </c>
      <c r="AI14" s="7">
        <f t="shared" si="6"/>
        <v>11</v>
      </c>
      <c r="AJ14" s="7">
        <f t="shared" si="7"/>
        <v>11</v>
      </c>
      <c r="AK14" s="7">
        <f t="shared" si="8"/>
        <v>11</v>
      </c>
      <c r="AL14" s="45"/>
    </row>
    <row r="15" spans="1:38" s="6" customFormat="1" ht="28.8" customHeight="1" x14ac:dyDescent="0.3">
      <c r="A15" s="59" t="s">
        <v>32</v>
      </c>
      <c r="B15" s="111">
        <v>0</v>
      </c>
      <c r="C15" s="106">
        <v>0</v>
      </c>
      <c r="D15" s="106">
        <v>0</v>
      </c>
      <c r="E15" s="106">
        <v>0</v>
      </c>
      <c r="F15" s="106">
        <v>0</v>
      </c>
      <c r="G15" s="106">
        <v>0</v>
      </c>
      <c r="H15" s="112">
        <v>0</v>
      </c>
      <c r="I15" s="146">
        <v>0</v>
      </c>
      <c r="J15" s="147">
        <v>0</v>
      </c>
      <c r="K15" s="147">
        <v>0</v>
      </c>
      <c r="L15" s="148">
        <v>0</v>
      </c>
      <c r="M15" s="148">
        <v>0</v>
      </c>
      <c r="N15" s="148">
        <v>0</v>
      </c>
      <c r="O15" s="149">
        <v>0</v>
      </c>
      <c r="P15" s="149">
        <v>0</v>
      </c>
      <c r="Q15" s="149">
        <v>0</v>
      </c>
      <c r="R15" s="149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42"/>
      <c r="AA15" s="5">
        <f t="shared" si="0"/>
        <v>0</v>
      </c>
      <c r="AB15" s="5">
        <f t="shared" si="1"/>
        <v>0</v>
      </c>
      <c r="AC15" s="5">
        <f t="shared" si="2"/>
        <v>0</v>
      </c>
      <c r="AD15" s="45"/>
      <c r="AE15" s="7">
        <f t="shared" si="3"/>
        <v>11</v>
      </c>
      <c r="AF15" s="7">
        <f t="shared" si="4"/>
        <v>11</v>
      </c>
      <c r="AG15" s="7">
        <f>IFERROR(SUM(B15,C15,'FASE OFENSIVA'!E15)*100/((SUM(D15,'FASE OFENSIVA'!F15))+(SUM(B15,C15,'FASE OFENSIVA'!E15))),11)</f>
        <v>11</v>
      </c>
      <c r="AH15" s="7">
        <f t="shared" si="5"/>
        <v>11</v>
      </c>
      <c r="AI15" s="7">
        <f t="shared" si="6"/>
        <v>11</v>
      </c>
      <c r="AJ15" s="7">
        <f t="shared" si="7"/>
        <v>11</v>
      </c>
      <c r="AK15" s="7">
        <f t="shared" si="8"/>
        <v>11</v>
      </c>
      <c r="AL15" s="45"/>
    </row>
    <row r="16" spans="1:38" ht="28.8" customHeight="1" x14ac:dyDescent="0.3">
      <c r="A16" s="59" t="s">
        <v>34</v>
      </c>
      <c r="B16" s="111">
        <v>0</v>
      </c>
      <c r="C16" s="106">
        <v>0</v>
      </c>
      <c r="D16" s="106">
        <v>0</v>
      </c>
      <c r="E16" s="106">
        <v>0</v>
      </c>
      <c r="F16" s="106">
        <v>0</v>
      </c>
      <c r="G16" s="106">
        <v>0</v>
      </c>
      <c r="H16" s="112">
        <v>0</v>
      </c>
      <c r="I16" s="146">
        <v>0</v>
      </c>
      <c r="J16" s="147">
        <v>0</v>
      </c>
      <c r="K16" s="147">
        <v>0</v>
      </c>
      <c r="L16" s="148">
        <v>0</v>
      </c>
      <c r="M16" s="148">
        <v>0</v>
      </c>
      <c r="N16" s="148">
        <v>0</v>
      </c>
      <c r="O16" s="149">
        <v>0</v>
      </c>
      <c r="P16" s="149">
        <v>0</v>
      </c>
      <c r="Q16" s="149">
        <v>0</v>
      </c>
      <c r="R16" s="149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42"/>
      <c r="AA16" s="5">
        <f t="shared" si="0"/>
        <v>0</v>
      </c>
      <c r="AB16" s="5">
        <f t="shared" si="1"/>
        <v>0</v>
      </c>
      <c r="AC16" s="5">
        <f t="shared" si="2"/>
        <v>0</v>
      </c>
      <c r="AD16" s="45"/>
      <c r="AE16" s="7">
        <f t="shared" si="3"/>
        <v>11</v>
      </c>
      <c r="AF16" s="7">
        <f t="shared" si="4"/>
        <v>11</v>
      </c>
      <c r="AG16" s="7">
        <f>IFERROR(SUM(B16,C16,'FASE OFENSIVA'!E16)*100/((SUM(D16,'FASE OFENSIVA'!F16))+(SUM(B16,C16,'FASE OFENSIVA'!E16))),11)</f>
        <v>11</v>
      </c>
      <c r="AH16" s="7">
        <f t="shared" si="5"/>
        <v>11</v>
      </c>
      <c r="AI16" s="7">
        <f t="shared" si="6"/>
        <v>11</v>
      </c>
      <c r="AJ16" s="7">
        <f t="shared" si="7"/>
        <v>11</v>
      </c>
      <c r="AK16" s="7">
        <f t="shared" si="8"/>
        <v>11</v>
      </c>
      <c r="AL16" s="45"/>
    </row>
    <row r="17" spans="1:38" ht="28.8" customHeight="1" x14ac:dyDescent="0.3">
      <c r="A17" s="59" t="s">
        <v>36</v>
      </c>
      <c r="B17" s="111">
        <v>0</v>
      </c>
      <c r="C17" s="106">
        <v>0</v>
      </c>
      <c r="D17" s="106">
        <v>0</v>
      </c>
      <c r="E17" s="106">
        <v>0</v>
      </c>
      <c r="F17" s="106">
        <v>0</v>
      </c>
      <c r="G17" s="106">
        <v>0</v>
      </c>
      <c r="H17" s="112">
        <v>0</v>
      </c>
      <c r="I17" s="146">
        <v>0</v>
      </c>
      <c r="J17" s="147">
        <v>0</v>
      </c>
      <c r="K17" s="147">
        <v>0</v>
      </c>
      <c r="L17" s="148">
        <v>0</v>
      </c>
      <c r="M17" s="148">
        <v>0</v>
      </c>
      <c r="N17" s="148">
        <v>0</v>
      </c>
      <c r="O17" s="149">
        <v>0</v>
      </c>
      <c r="P17" s="149">
        <v>0</v>
      </c>
      <c r="Q17" s="149">
        <v>0</v>
      </c>
      <c r="R17" s="149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42"/>
      <c r="AA17" s="5">
        <f t="shared" si="0"/>
        <v>0</v>
      </c>
      <c r="AB17" s="5">
        <f t="shared" si="1"/>
        <v>0</v>
      </c>
      <c r="AC17" s="5">
        <f t="shared" si="2"/>
        <v>0</v>
      </c>
      <c r="AD17" s="45"/>
      <c r="AE17" s="7">
        <f t="shared" si="3"/>
        <v>11</v>
      </c>
      <c r="AF17" s="7">
        <f t="shared" si="4"/>
        <v>11</v>
      </c>
      <c r="AG17" s="7">
        <f>IFERROR(SUM(B17,C17,'FASE OFENSIVA'!E17)*100/((SUM(D17,'FASE OFENSIVA'!F17))+(SUM(B17,C17,'FASE OFENSIVA'!E17))),11)</f>
        <v>11</v>
      </c>
      <c r="AH17" s="7">
        <f t="shared" si="5"/>
        <v>11</v>
      </c>
      <c r="AI17" s="7">
        <f t="shared" si="6"/>
        <v>11</v>
      </c>
      <c r="AJ17" s="7">
        <f t="shared" si="7"/>
        <v>11</v>
      </c>
      <c r="AK17" s="7">
        <f t="shared" si="8"/>
        <v>11</v>
      </c>
      <c r="AL17" s="45"/>
    </row>
    <row r="18" spans="1:38" ht="28.8" customHeight="1" x14ac:dyDescent="0.3">
      <c r="A18" s="59" t="s">
        <v>37</v>
      </c>
      <c r="B18" s="111">
        <v>0</v>
      </c>
      <c r="C18" s="106">
        <v>0</v>
      </c>
      <c r="D18" s="106">
        <v>0</v>
      </c>
      <c r="E18" s="106">
        <v>0</v>
      </c>
      <c r="F18" s="106">
        <v>0</v>
      </c>
      <c r="G18" s="106">
        <v>0</v>
      </c>
      <c r="H18" s="112">
        <v>0</v>
      </c>
      <c r="I18" s="146">
        <v>0</v>
      </c>
      <c r="J18" s="147">
        <v>0</v>
      </c>
      <c r="K18" s="147">
        <v>0</v>
      </c>
      <c r="L18" s="148">
        <v>0</v>
      </c>
      <c r="M18" s="148">
        <v>0</v>
      </c>
      <c r="N18" s="148">
        <v>0</v>
      </c>
      <c r="O18" s="149">
        <v>0</v>
      </c>
      <c r="P18" s="149">
        <v>0</v>
      </c>
      <c r="Q18" s="149">
        <v>0</v>
      </c>
      <c r="R18" s="149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42"/>
      <c r="AA18" s="5">
        <f t="shared" si="0"/>
        <v>0</v>
      </c>
      <c r="AB18" s="5">
        <f t="shared" si="1"/>
        <v>0</v>
      </c>
      <c r="AC18" s="5">
        <f t="shared" si="2"/>
        <v>0</v>
      </c>
      <c r="AD18" s="45"/>
      <c r="AE18" s="7">
        <f t="shared" si="3"/>
        <v>11</v>
      </c>
      <c r="AF18" s="7">
        <f t="shared" si="4"/>
        <v>11</v>
      </c>
      <c r="AG18" s="7">
        <f>IFERROR(SUM(B18,C18,'FASE OFENSIVA'!E18)*100/((SUM(D18,'FASE OFENSIVA'!F18))+(SUM(B18,C18,'FASE OFENSIVA'!E18))),11)</f>
        <v>11</v>
      </c>
      <c r="AH18" s="7">
        <f t="shared" si="5"/>
        <v>11</v>
      </c>
      <c r="AI18" s="7">
        <f t="shared" si="6"/>
        <v>11</v>
      </c>
      <c r="AJ18" s="7">
        <f t="shared" si="7"/>
        <v>11</v>
      </c>
      <c r="AK18" s="7">
        <f t="shared" si="8"/>
        <v>11</v>
      </c>
      <c r="AL18" s="45"/>
    </row>
    <row r="19" spans="1:38" ht="28.8" customHeight="1" x14ac:dyDescent="0.3">
      <c r="A19" s="59" t="s">
        <v>35</v>
      </c>
      <c r="B19" s="111">
        <v>0</v>
      </c>
      <c r="C19" s="106">
        <v>0</v>
      </c>
      <c r="D19" s="106">
        <v>0</v>
      </c>
      <c r="E19" s="106">
        <v>0</v>
      </c>
      <c r="F19" s="106">
        <v>0</v>
      </c>
      <c r="G19" s="106">
        <v>0</v>
      </c>
      <c r="H19" s="112">
        <v>0</v>
      </c>
      <c r="I19" s="146">
        <v>0</v>
      </c>
      <c r="J19" s="147">
        <v>0</v>
      </c>
      <c r="K19" s="147">
        <v>0</v>
      </c>
      <c r="L19" s="148">
        <v>0</v>
      </c>
      <c r="M19" s="148">
        <v>0</v>
      </c>
      <c r="N19" s="148">
        <v>0</v>
      </c>
      <c r="O19" s="149">
        <v>0</v>
      </c>
      <c r="P19" s="149">
        <v>0</v>
      </c>
      <c r="Q19" s="149">
        <v>0</v>
      </c>
      <c r="R19" s="149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42"/>
      <c r="AA19" s="5">
        <f t="shared" si="0"/>
        <v>0</v>
      </c>
      <c r="AB19" s="5">
        <f t="shared" si="1"/>
        <v>0</v>
      </c>
      <c r="AC19" s="5">
        <f t="shared" si="2"/>
        <v>0</v>
      </c>
      <c r="AD19" s="45"/>
      <c r="AE19" s="7">
        <f t="shared" si="3"/>
        <v>11</v>
      </c>
      <c r="AF19" s="7">
        <f t="shared" si="4"/>
        <v>11</v>
      </c>
      <c r="AG19" s="7">
        <f>IFERROR(SUM(B19,C19,'FASE OFENSIVA'!E19)*100/((SUM(D19,'FASE OFENSIVA'!F19))+(SUM(B19,C19,'FASE OFENSIVA'!E19))),11)</f>
        <v>11</v>
      </c>
      <c r="AH19" s="7">
        <f t="shared" si="5"/>
        <v>11</v>
      </c>
      <c r="AI19" s="7">
        <f t="shared" si="6"/>
        <v>11</v>
      </c>
      <c r="AJ19" s="7">
        <f t="shared" si="7"/>
        <v>11</v>
      </c>
      <c r="AK19" s="7">
        <f t="shared" si="8"/>
        <v>11</v>
      </c>
      <c r="AL19" s="45"/>
    </row>
    <row r="20" spans="1:38" ht="28.8" customHeight="1" x14ac:dyDescent="0.3">
      <c r="A20" s="59" t="s">
        <v>161</v>
      </c>
      <c r="B20" s="111">
        <v>0</v>
      </c>
      <c r="C20" s="106">
        <v>0</v>
      </c>
      <c r="D20" s="106">
        <v>0</v>
      </c>
      <c r="E20" s="106">
        <v>0</v>
      </c>
      <c r="F20" s="106">
        <v>0</v>
      </c>
      <c r="G20" s="106">
        <v>0</v>
      </c>
      <c r="H20" s="112">
        <v>0</v>
      </c>
      <c r="I20" s="146">
        <v>0</v>
      </c>
      <c r="J20" s="147">
        <v>0</v>
      </c>
      <c r="K20" s="147">
        <v>0</v>
      </c>
      <c r="L20" s="148">
        <v>0</v>
      </c>
      <c r="M20" s="148">
        <v>0</v>
      </c>
      <c r="N20" s="148">
        <v>0</v>
      </c>
      <c r="O20" s="149">
        <v>0</v>
      </c>
      <c r="P20" s="149">
        <v>0</v>
      </c>
      <c r="Q20" s="149">
        <v>0</v>
      </c>
      <c r="R20" s="149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42"/>
      <c r="AA20" s="5">
        <f t="shared" si="0"/>
        <v>0</v>
      </c>
      <c r="AB20" s="5">
        <f t="shared" si="1"/>
        <v>0</v>
      </c>
      <c r="AC20" s="5">
        <f t="shared" si="2"/>
        <v>0</v>
      </c>
      <c r="AD20" s="45"/>
      <c r="AE20" s="7">
        <f t="shared" si="3"/>
        <v>11</v>
      </c>
      <c r="AF20" s="7">
        <f t="shared" si="4"/>
        <v>11</v>
      </c>
      <c r="AG20" s="7">
        <f>IFERROR(SUM(B20,C20,'FASE OFENSIVA'!E20)*100/((SUM(D20,'FASE OFENSIVA'!F20))+(SUM(B20,C20,'FASE OFENSIVA'!E20))),11)</f>
        <v>11</v>
      </c>
      <c r="AH20" s="7">
        <f t="shared" si="5"/>
        <v>11</v>
      </c>
      <c r="AI20" s="7">
        <f t="shared" si="6"/>
        <v>11</v>
      </c>
      <c r="AJ20" s="7">
        <f t="shared" si="7"/>
        <v>11</v>
      </c>
      <c r="AK20" s="7">
        <f t="shared" si="8"/>
        <v>11</v>
      </c>
      <c r="AL20" s="45"/>
    </row>
    <row r="21" spans="1:38" x14ac:dyDescent="0.3">
      <c r="Y21" s="8"/>
      <c r="Z21" s="8"/>
      <c r="AE21" s="8"/>
      <c r="AF21" s="8"/>
      <c r="AG21" s="8"/>
      <c r="AH21" s="8"/>
      <c r="AI21" s="8"/>
      <c r="AJ21" s="8"/>
      <c r="AK21" s="8"/>
    </row>
    <row r="22" spans="1:38" x14ac:dyDescent="0.3">
      <c r="Y22" s="8"/>
      <c r="Z22" s="8"/>
      <c r="AE22" s="8"/>
      <c r="AF22" s="8"/>
      <c r="AG22" s="8"/>
      <c r="AH22" s="8"/>
      <c r="AI22" s="5" t="s">
        <v>126</v>
      </c>
      <c r="AJ22" s="5" t="s">
        <v>129</v>
      </c>
      <c r="AK22" s="8"/>
    </row>
    <row r="23" spans="1:38" x14ac:dyDescent="0.3">
      <c r="Y23" s="8"/>
      <c r="Z23" s="8"/>
      <c r="AE23" s="8"/>
      <c r="AF23" s="8"/>
      <c r="AG23" s="8"/>
      <c r="AH23" s="8"/>
      <c r="AI23" s="5" t="s">
        <v>127</v>
      </c>
      <c r="AJ23" s="5" t="s">
        <v>130</v>
      </c>
      <c r="AK23" s="8"/>
    </row>
    <row r="24" spans="1:38" x14ac:dyDescent="0.3">
      <c r="Y24" s="8"/>
      <c r="Z24" s="8"/>
      <c r="AE24" s="8"/>
      <c r="AF24" s="8"/>
      <c r="AG24" s="8"/>
      <c r="AH24" s="8"/>
      <c r="AI24" s="5" t="s">
        <v>128</v>
      </c>
      <c r="AK24" s="8"/>
    </row>
    <row r="25" spans="1:38" x14ac:dyDescent="0.3">
      <c r="Y25" s="8"/>
      <c r="Z25" s="8"/>
      <c r="AE25" s="8"/>
      <c r="AF25" s="8"/>
      <c r="AG25" s="8"/>
      <c r="AH25" s="8"/>
      <c r="AK25" s="8"/>
    </row>
    <row r="26" spans="1:38" x14ac:dyDescent="0.3">
      <c r="Y26" s="8"/>
      <c r="Z26" s="8"/>
      <c r="AE26" s="8"/>
      <c r="AF26" s="8"/>
      <c r="AG26" s="8"/>
      <c r="AH26" s="8"/>
      <c r="AI26" s="8"/>
      <c r="AJ26" s="8"/>
      <c r="AK26" s="8"/>
    </row>
    <row r="27" spans="1:38" x14ac:dyDescent="0.3">
      <c r="Y27" s="8"/>
      <c r="Z27" s="8"/>
      <c r="AE27" s="8"/>
      <c r="AF27" s="8"/>
      <c r="AG27" s="8"/>
      <c r="AH27" s="8"/>
      <c r="AI27" s="8"/>
      <c r="AJ27" s="8"/>
      <c r="AK27" s="8"/>
    </row>
    <row r="28" spans="1:38" x14ac:dyDescent="0.3">
      <c r="Y28" s="8"/>
      <c r="Z28" s="8"/>
      <c r="AE28" s="8"/>
      <c r="AF28" s="8"/>
      <c r="AG28" s="8"/>
      <c r="AH28" s="8"/>
      <c r="AI28" s="8"/>
      <c r="AJ28" s="8"/>
      <c r="AK28" s="8"/>
    </row>
    <row r="29" spans="1:38" x14ac:dyDescent="0.3">
      <c r="Y29" s="8"/>
      <c r="Z29" s="8"/>
      <c r="AE29" s="8"/>
      <c r="AF29" s="8"/>
      <c r="AG29" s="8"/>
      <c r="AH29" s="8"/>
      <c r="AI29" s="8"/>
      <c r="AJ29" s="8"/>
      <c r="AK29" s="8"/>
    </row>
    <row r="30" spans="1:38" x14ac:dyDescent="0.3">
      <c r="Y30" s="8"/>
      <c r="Z30" s="8"/>
      <c r="AE30" s="8"/>
      <c r="AF30" s="8"/>
      <c r="AG30" s="8"/>
      <c r="AH30" s="8"/>
      <c r="AI30" s="8"/>
      <c r="AJ30" s="8"/>
      <c r="AK30" s="8"/>
    </row>
    <row r="31" spans="1:38" x14ac:dyDescent="0.3">
      <c r="Y31" s="8"/>
      <c r="Z31" s="8"/>
      <c r="AE31" s="8"/>
      <c r="AF31" s="8"/>
      <c r="AG31" s="8"/>
      <c r="AH31" s="8"/>
      <c r="AI31" s="8"/>
      <c r="AJ31" s="8"/>
      <c r="AK31" s="8"/>
    </row>
    <row r="32" spans="1:38" x14ac:dyDescent="0.3">
      <c r="Y32" s="8"/>
      <c r="Z32" s="8"/>
      <c r="AE32" s="8"/>
      <c r="AF32" s="8"/>
      <c r="AG32" s="8"/>
      <c r="AH32" s="8"/>
      <c r="AI32" s="8"/>
      <c r="AJ32" s="8"/>
      <c r="AK32" s="8"/>
    </row>
    <row r="33" spans="25:37" x14ac:dyDescent="0.3">
      <c r="Y33" s="8"/>
      <c r="Z33" s="8"/>
      <c r="AE33" s="8"/>
      <c r="AF33" s="8"/>
      <c r="AG33" s="8"/>
      <c r="AH33" s="8"/>
      <c r="AI33" s="8"/>
      <c r="AJ33" s="8"/>
      <c r="AK33" s="8"/>
    </row>
    <row r="34" spans="25:37" x14ac:dyDescent="0.3">
      <c r="Y34" s="8"/>
      <c r="Z34" s="8"/>
      <c r="AE34" s="8"/>
      <c r="AF34" s="8"/>
      <c r="AG34" s="8"/>
      <c r="AH34" s="8"/>
      <c r="AI34" s="8"/>
      <c r="AJ34" s="8"/>
      <c r="AK34" s="8"/>
    </row>
    <row r="35" spans="25:37" x14ac:dyDescent="0.3">
      <c r="Y35" s="8"/>
      <c r="Z35" s="8"/>
      <c r="AE35" s="8"/>
      <c r="AF35" s="8"/>
      <c r="AG35" s="8"/>
      <c r="AH35" s="8"/>
      <c r="AI35" s="8"/>
      <c r="AJ35" s="8"/>
      <c r="AK35" s="8"/>
    </row>
    <row r="36" spans="25:37" x14ac:dyDescent="0.3">
      <c r="Y36" s="8"/>
      <c r="Z36" s="8"/>
      <c r="AE36" s="8"/>
      <c r="AF36" s="8"/>
      <c r="AG36" s="8"/>
      <c r="AH36" s="8"/>
      <c r="AI36" s="8"/>
      <c r="AJ36" s="8"/>
      <c r="AK36" s="8"/>
    </row>
    <row r="37" spans="25:37" x14ac:dyDescent="0.3">
      <c r="Y37" s="8"/>
      <c r="Z37" s="8"/>
      <c r="AE37" s="8"/>
      <c r="AF37" s="8"/>
      <c r="AG37" s="8"/>
      <c r="AH37" s="8"/>
      <c r="AI37" s="8"/>
      <c r="AJ37" s="8"/>
      <c r="AK37" s="8"/>
    </row>
    <row r="38" spans="25:37" x14ac:dyDescent="0.3">
      <c r="AI38" s="8"/>
      <c r="AJ38" s="8"/>
    </row>
    <row r="39" spans="25:37" x14ac:dyDescent="0.3">
      <c r="AI39" s="8"/>
      <c r="AJ39" s="8"/>
    </row>
  </sheetData>
  <mergeCells count="2">
    <mergeCell ref="AA1:AC3"/>
    <mergeCell ref="AE1:AK3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51311-D481-4798-9F31-B97416E87414}">
  <sheetPr codeName="Planilha3"/>
  <dimension ref="A1:W57"/>
  <sheetViews>
    <sheetView zoomScale="70" zoomScaleNormal="70" workbookViewId="0">
      <selection activeCell="M21" sqref="M21:M23"/>
    </sheetView>
  </sheetViews>
  <sheetFormatPr defaultRowHeight="14.4" x14ac:dyDescent="0.3"/>
  <cols>
    <col min="1" max="1" width="17.33203125" style="53" customWidth="1"/>
    <col min="2" max="4" width="9" style="52" bestFit="1" customWidth="1"/>
    <col min="5" max="5" width="9" style="52" customWidth="1"/>
    <col min="6" max="8" width="9" style="52" bestFit="1" customWidth="1"/>
    <col min="9" max="9" width="9" style="52" customWidth="1"/>
    <col min="10" max="10" width="9" style="46" bestFit="1" customWidth="1"/>
    <col min="11" max="11" width="4.44140625" style="46" customWidth="1"/>
    <col min="12" max="12" width="4.5546875" style="46" customWidth="1"/>
    <col min="13" max="13" width="18.5546875" style="46" customWidth="1"/>
    <col min="14" max="14" width="7.77734375" style="46" customWidth="1"/>
    <col min="15" max="15" width="2" style="46" customWidth="1"/>
    <col min="16" max="16" width="4.5546875" style="46" customWidth="1"/>
    <col min="17" max="17" width="18.5546875" style="46" customWidth="1"/>
    <col min="18" max="18" width="7.77734375" style="46" customWidth="1"/>
    <col min="19" max="19" width="3" style="46" customWidth="1"/>
    <col min="20" max="20" width="4.5546875" style="46" customWidth="1"/>
    <col min="21" max="21" width="18.5546875" style="46" customWidth="1"/>
    <col min="22" max="22" width="7.77734375" style="46" customWidth="1"/>
    <col min="23" max="23" width="2.77734375" style="46" customWidth="1"/>
    <col min="24" max="16384" width="8.88671875" style="46"/>
  </cols>
  <sheetData>
    <row r="1" spans="1:23" ht="25.2" customHeight="1" x14ac:dyDescent="0.3">
      <c r="K1" s="144"/>
      <c r="L1" s="144"/>
      <c r="M1" s="144"/>
      <c r="N1" s="144"/>
      <c r="O1" s="145"/>
      <c r="P1" s="144"/>
      <c r="Q1" s="144"/>
      <c r="R1" s="144"/>
      <c r="S1" s="144"/>
      <c r="T1" s="144"/>
      <c r="U1" s="144"/>
      <c r="V1" s="144"/>
      <c r="W1" s="144"/>
    </row>
    <row r="2" spans="1:23" ht="10.8" customHeight="1" x14ac:dyDescent="0.3">
      <c r="A2" s="47"/>
      <c r="B2" s="114">
        <f>AVERAGE(B5:B20)</f>
        <v>-0.125</v>
      </c>
      <c r="C2" s="114">
        <f t="shared" ref="C2:E2" si="0">AVERAGE(C5:C20)</f>
        <v>0</v>
      </c>
      <c r="D2" s="114">
        <f t="shared" si="0"/>
        <v>0</v>
      </c>
      <c r="E2" s="114">
        <f t="shared" si="0"/>
        <v>-0.125</v>
      </c>
      <c r="F2" s="114">
        <f>AVERAGE(F5:F20)</f>
        <v>0.125</v>
      </c>
      <c r="G2" s="114">
        <f t="shared" ref="G2:I2" si="1">AVERAGE(G5:G20)</f>
        <v>0.125</v>
      </c>
      <c r="H2" s="114">
        <f t="shared" si="1"/>
        <v>-0.3125</v>
      </c>
      <c r="I2" s="114">
        <f t="shared" si="1"/>
        <v>-6.25E-2</v>
      </c>
      <c r="J2" s="114">
        <f>AVERAGE(J5:J20)</f>
        <v>-0.1875</v>
      </c>
      <c r="K2" s="144"/>
      <c r="L2" s="144"/>
      <c r="M2" s="144"/>
      <c r="N2" s="144"/>
      <c r="O2" s="145"/>
      <c r="P2" s="144"/>
      <c r="Q2" s="144"/>
      <c r="R2" s="144"/>
      <c r="S2" s="144"/>
      <c r="T2" s="144"/>
      <c r="U2" s="144"/>
      <c r="V2" s="144"/>
      <c r="W2" s="144"/>
    </row>
    <row r="3" spans="1:23" x14ac:dyDescent="0.3">
      <c r="A3" s="49"/>
      <c r="B3" s="187" t="s">
        <v>103</v>
      </c>
      <c r="C3" s="187"/>
      <c r="D3" s="187"/>
      <c r="E3" s="187"/>
      <c r="F3" s="188" t="s">
        <v>104</v>
      </c>
      <c r="G3" s="188"/>
      <c r="H3" s="188"/>
      <c r="I3" s="188"/>
      <c r="J3" s="183" t="s">
        <v>16</v>
      </c>
      <c r="K3" s="144"/>
      <c r="L3" s="184" t="s">
        <v>16</v>
      </c>
      <c r="M3" s="184"/>
      <c r="N3" s="184"/>
      <c r="O3" s="145"/>
      <c r="P3" s="185" t="s">
        <v>103</v>
      </c>
      <c r="Q3" s="185"/>
      <c r="R3" s="185" t="s">
        <v>15</v>
      </c>
      <c r="S3" s="144"/>
      <c r="T3" s="186" t="s">
        <v>104</v>
      </c>
      <c r="U3" s="186"/>
      <c r="V3" s="186" t="s">
        <v>15</v>
      </c>
      <c r="W3" s="144"/>
    </row>
    <row r="4" spans="1:23" x14ac:dyDescent="0.3">
      <c r="A4" s="64" t="s">
        <v>2</v>
      </c>
      <c r="B4" s="60" t="s">
        <v>157</v>
      </c>
      <c r="C4" s="60" t="s">
        <v>98</v>
      </c>
      <c r="D4" s="60" t="s">
        <v>13</v>
      </c>
      <c r="E4" s="61" t="s">
        <v>107</v>
      </c>
      <c r="F4" s="62" t="s">
        <v>105</v>
      </c>
      <c r="G4" s="62" t="s">
        <v>106</v>
      </c>
      <c r="H4" s="62" t="s">
        <v>14</v>
      </c>
      <c r="I4" s="63" t="s">
        <v>108</v>
      </c>
      <c r="J4" s="183"/>
      <c r="K4" s="144"/>
      <c r="L4" s="71" t="s">
        <v>110</v>
      </c>
      <c r="M4" s="72" t="s">
        <v>112</v>
      </c>
      <c r="N4" s="71" t="s">
        <v>111</v>
      </c>
      <c r="O4" s="145"/>
      <c r="P4" s="66" t="s">
        <v>110</v>
      </c>
      <c r="Q4" s="67" t="s">
        <v>112</v>
      </c>
      <c r="R4" s="66" t="s">
        <v>111</v>
      </c>
      <c r="S4" s="144"/>
      <c r="T4" s="68" t="s">
        <v>110</v>
      </c>
      <c r="U4" s="69" t="s">
        <v>112</v>
      </c>
      <c r="V4" s="68" t="s">
        <v>111</v>
      </c>
      <c r="W4" s="144"/>
    </row>
    <row r="5" spans="1:23" x14ac:dyDescent="0.3">
      <c r="A5" s="85" t="str">
        <f>'FASE OFENSIVA'!A5</f>
        <v>MATEUS</v>
      </c>
      <c r="B5" s="54">
        <f>'FASE OFENSIVA'!AB5</f>
        <v>0</v>
      </c>
      <c r="C5" s="54">
        <f>'FASE OFENSIVA'!AC5</f>
        <v>0</v>
      </c>
      <c r="D5" s="54">
        <f>'FASE OFENSIVA'!AD5</f>
        <v>0</v>
      </c>
      <c r="E5" s="55">
        <f>SUM(B5:D5)</f>
        <v>0</v>
      </c>
      <c r="F5" s="54">
        <f>'FASE DEFENSIVA'!AA5</f>
        <v>2</v>
      </c>
      <c r="G5" s="54">
        <f>'FASE DEFENSIVA'!AB5</f>
        <v>2</v>
      </c>
      <c r="H5" s="54">
        <f>'FASE DEFENSIVA'!AC5</f>
        <v>-5</v>
      </c>
      <c r="I5" s="57">
        <f>SUM(F5:H5)</f>
        <v>-1</v>
      </c>
      <c r="J5" s="56">
        <f>E5+I5</f>
        <v>-1</v>
      </c>
      <c r="K5" s="144"/>
      <c r="L5" s="51" t="s">
        <v>23</v>
      </c>
      <c r="M5" s="115" t="s">
        <v>26</v>
      </c>
      <c r="N5" s="56">
        <v>0</v>
      </c>
      <c r="O5" s="145"/>
      <c r="P5" s="70" t="s">
        <v>23</v>
      </c>
      <c r="Q5" s="115" t="s">
        <v>25</v>
      </c>
      <c r="R5" s="73">
        <v>0</v>
      </c>
      <c r="S5" s="144"/>
      <c r="T5" s="50" t="s">
        <v>23</v>
      </c>
      <c r="U5" s="115" t="s">
        <v>26</v>
      </c>
      <c r="V5" s="57">
        <v>0</v>
      </c>
      <c r="W5" s="144"/>
    </row>
    <row r="6" spans="1:23" x14ac:dyDescent="0.3">
      <c r="A6" s="85" t="str">
        <f>'FASE OFENSIVA'!A6</f>
        <v>RAFINHA</v>
      </c>
      <c r="B6" s="54">
        <f>'FASE OFENSIVA'!AB6</f>
        <v>0</v>
      </c>
      <c r="C6" s="54">
        <f>'FASE OFENSIVA'!AC6</f>
        <v>0</v>
      </c>
      <c r="D6" s="54">
        <f>'FASE OFENSIVA'!AD6</f>
        <v>0</v>
      </c>
      <c r="E6" s="55">
        <f t="shared" ref="E6:E20" si="2">SUM(B6:D6)</f>
        <v>0</v>
      </c>
      <c r="F6" s="54">
        <f>'FASE DEFENSIVA'!AA6</f>
        <v>0</v>
      </c>
      <c r="G6" s="54">
        <f>'FASE DEFENSIVA'!AB6</f>
        <v>0</v>
      </c>
      <c r="H6" s="54">
        <f>'FASE DEFENSIVA'!AC6</f>
        <v>0</v>
      </c>
      <c r="I6" s="57">
        <f t="shared" ref="I6:I20" si="3">SUM(F6:H6)</f>
        <v>0</v>
      </c>
      <c r="J6" s="56">
        <f t="shared" ref="J6:J20" si="4">E6+I6</f>
        <v>0</v>
      </c>
      <c r="K6" s="144"/>
      <c r="L6" s="51" t="s">
        <v>23</v>
      </c>
      <c r="M6" s="115" t="s">
        <v>24</v>
      </c>
      <c r="N6" s="56">
        <v>0</v>
      </c>
      <c r="O6" s="145"/>
      <c r="P6" s="70" t="s">
        <v>23</v>
      </c>
      <c r="Q6" s="115" t="s">
        <v>26</v>
      </c>
      <c r="R6" s="73">
        <v>0</v>
      </c>
      <c r="S6" s="144"/>
      <c r="T6" s="50" t="s">
        <v>23</v>
      </c>
      <c r="U6" s="115" t="s">
        <v>24</v>
      </c>
      <c r="V6" s="57">
        <v>0</v>
      </c>
      <c r="W6" s="144"/>
    </row>
    <row r="7" spans="1:23" x14ac:dyDescent="0.3">
      <c r="A7" s="85" t="str">
        <f>'FASE OFENSIVA'!A7</f>
        <v>TARIQ</v>
      </c>
      <c r="B7" s="54">
        <f>'FASE OFENSIVA'!AB7</f>
        <v>0</v>
      </c>
      <c r="C7" s="54">
        <f>'FASE OFENSIVA'!AC7</f>
        <v>0</v>
      </c>
      <c r="D7" s="54">
        <f>'FASE OFENSIVA'!AD7</f>
        <v>0</v>
      </c>
      <c r="E7" s="55">
        <f t="shared" si="2"/>
        <v>0</v>
      </c>
      <c r="F7" s="54">
        <f>'FASE DEFENSIVA'!AA7</f>
        <v>0</v>
      </c>
      <c r="G7" s="54">
        <f>'FASE DEFENSIVA'!AB7</f>
        <v>0</v>
      </c>
      <c r="H7" s="54">
        <f>'FASE DEFENSIVA'!AC7</f>
        <v>0</v>
      </c>
      <c r="I7" s="57">
        <f t="shared" si="3"/>
        <v>0</v>
      </c>
      <c r="J7" s="56">
        <f t="shared" si="4"/>
        <v>0</v>
      </c>
      <c r="K7" s="144"/>
      <c r="L7" s="51" t="s">
        <v>23</v>
      </c>
      <c r="M7" s="115" t="s">
        <v>27</v>
      </c>
      <c r="N7" s="56">
        <v>0</v>
      </c>
      <c r="O7" s="145"/>
      <c r="P7" s="70" t="s">
        <v>23</v>
      </c>
      <c r="Q7" s="115" t="s">
        <v>24</v>
      </c>
      <c r="R7" s="73">
        <v>0</v>
      </c>
      <c r="S7" s="144"/>
      <c r="T7" s="50" t="s">
        <v>23</v>
      </c>
      <c r="U7" s="115" t="s">
        <v>27</v>
      </c>
      <c r="V7" s="57">
        <v>0</v>
      </c>
      <c r="W7" s="144"/>
    </row>
    <row r="8" spans="1:23" x14ac:dyDescent="0.3">
      <c r="A8" s="85" t="str">
        <f>'FASE OFENSIVA'!A8</f>
        <v>TETEU</v>
      </c>
      <c r="B8" s="54">
        <f>'FASE OFENSIVA'!AB8</f>
        <v>0</v>
      </c>
      <c r="C8" s="54">
        <f>'FASE OFENSIVA'!AC8</f>
        <v>0</v>
      </c>
      <c r="D8" s="54">
        <f>'FASE OFENSIVA'!AD8</f>
        <v>0</v>
      </c>
      <c r="E8" s="55">
        <f t="shared" si="2"/>
        <v>0</v>
      </c>
      <c r="F8" s="54">
        <f>'FASE DEFENSIVA'!AA8</f>
        <v>0</v>
      </c>
      <c r="G8" s="54">
        <f>'FASE DEFENSIVA'!AB8</f>
        <v>0</v>
      </c>
      <c r="H8" s="54">
        <f>'FASE DEFENSIVA'!AC8</f>
        <v>0</v>
      </c>
      <c r="I8" s="57">
        <f t="shared" si="3"/>
        <v>0</v>
      </c>
      <c r="J8" s="56">
        <f t="shared" si="4"/>
        <v>0</v>
      </c>
      <c r="K8" s="144"/>
      <c r="L8" s="51" t="s">
        <v>23</v>
      </c>
      <c r="M8" s="115" t="s">
        <v>31</v>
      </c>
      <c r="N8" s="56">
        <v>0</v>
      </c>
      <c r="O8" s="145"/>
      <c r="P8" s="70" t="s">
        <v>23</v>
      </c>
      <c r="Q8" s="115" t="s">
        <v>27</v>
      </c>
      <c r="R8" s="73">
        <v>0</v>
      </c>
      <c r="S8" s="144"/>
      <c r="T8" s="50" t="s">
        <v>23</v>
      </c>
      <c r="U8" s="115" t="s">
        <v>31</v>
      </c>
      <c r="V8" s="57">
        <v>0</v>
      </c>
      <c r="W8" s="144"/>
    </row>
    <row r="9" spans="1:23" x14ac:dyDescent="0.3">
      <c r="A9" s="85" t="str">
        <f>'FASE OFENSIVA'!A9</f>
        <v>LORENZO</v>
      </c>
      <c r="B9" s="54">
        <f>'FASE OFENSIVA'!AB9</f>
        <v>0</v>
      </c>
      <c r="C9" s="54">
        <f>'FASE OFENSIVA'!AC9</f>
        <v>0</v>
      </c>
      <c r="D9" s="54">
        <f>'FASE OFENSIVA'!AD9</f>
        <v>0</v>
      </c>
      <c r="E9" s="55">
        <f t="shared" si="2"/>
        <v>0</v>
      </c>
      <c r="F9" s="54">
        <f>'FASE DEFENSIVA'!AA9</f>
        <v>0</v>
      </c>
      <c r="G9" s="54">
        <f>'FASE DEFENSIVA'!AB9</f>
        <v>0</v>
      </c>
      <c r="H9" s="54">
        <f>'FASE DEFENSIVA'!AC9</f>
        <v>0</v>
      </c>
      <c r="I9" s="57">
        <f t="shared" si="3"/>
        <v>0</v>
      </c>
      <c r="J9" s="56">
        <f t="shared" si="4"/>
        <v>0</v>
      </c>
      <c r="K9" s="144"/>
      <c r="L9" s="51" t="s">
        <v>23</v>
      </c>
      <c r="M9" s="115" t="s">
        <v>29</v>
      </c>
      <c r="N9" s="56">
        <v>0</v>
      </c>
      <c r="O9" s="145"/>
      <c r="P9" s="70" t="s">
        <v>23</v>
      </c>
      <c r="Q9" s="115" t="s">
        <v>31</v>
      </c>
      <c r="R9" s="73">
        <v>0</v>
      </c>
      <c r="S9" s="144"/>
      <c r="T9" s="50" t="s">
        <v>23</v>
      </c>
      <c r="U9" s="115" t="s">
        <v>29</v>
      </c>
      <c r="V9" s="57">
        <v>0</v>
      </c>
      <c r="W9" s="144"/>
    </row>
    <row r="10" spans="1:23" x14ac:dyDescent="0.3">
      <c r="A10" s="85" t="str">
        <f>'FASE OFENSIVA'!A10</f>
        <v>PEPO</v>
      </c>
      <c r="B10" s="54">
        <f>'FASE OFENSIVA'!AB10</f>
        <v>0</v>
      </c>
      <c r="C10" s="54">
        <f>'FASE OFENSIVA'!AC10</f>
        <v>0</v>
      </c>
      <c r="D10" s="54">
        <f>'FASE OFENSIVA'!AD10</f>
        <v>0</v>
      </c>
      <c r="E10" s="55">
        <f t="shared" si="2"/>
        <v>0</v>
      </c>
      <c r="F10" s="54">
        <f>'FASE DEFENSIVA'!AA10</f>
        <v>0</v>
      </c>
      <c r="G10" s="54">
        <f>'FASE DEFENSIVA'!AB10</f>
        <v>0</v>
      </c>
      <c r="H10" s="54">
        <f>'FASE DEFENSIVA'!AC10</f>
        <v>0</v>
      </c>
      <c r="I10" s="57">
        <f t="shared" si="3"/>
        <v>0</v>
      </c>
      <c r="J10" s="56">
        <f t="shared" si="4"/>
        <v>0</v>
      </c>
      <c r="K10" s="144"/>
      <c r="L10" s="51" t="s">
        <v>23</v>
      </c>
      <c r="M10" s="115" t="s">
        <v>28</v>
      </c>
      <c r="N10" s="56">
        <v>0</v>
      </c>
      <c r="O10" s="145"/>
      <c r="P10" s="70" t="s">
        <v>23</v>
      </c>
      <c r="Q10" s="115" t="s">
        <v>29</v>
      </c>
      <c r="R10" s="73">
        <v>0</v>
      </c>
      <c r="S10" s="144"/>
      <c r="T10" s="50" t="s">
        <v>23</v>
      </c>
      <c r="U10" s="115" t="s">
        <v>28</v>
      </c>
      <c r="V10" s="57">
        <v>0</v>
      </c>
      <c r="W10" s="144"/>
    </row>
    <row r="11" spans="1:23" x14ac:dyDescent="0.3">
      <c r="A11" s="85" t="str">
        <f>'FASE OFENSIVA'!A11</f>
        <v>ROGÉRIO</v>
      </c>
      <c r="B11" s="54">
        <f>'FASE OFENSIVA'!AB11</f>
        <v>0</v>
      </c>
      <c r="C11" s="54">
        <f>'FASE OFENSIVA'!AC11</f>
        <v>0</v>
      </c>
      <c r="D11" s="54">
        <f>'FASE OFENSIVA'!AD11</f>
        <v>0</v>
      </c>
      <c r="E11" s="55">
        <f t="shared" si="2"/>
        <v>0</v>
      </c>
      <c r="F11" s="54">
        <f>'FASE DEFENSIVA'!AA11</f>
        <v>0</v>
      </c>
      <c r="G11" s="54">
        <f>'FASE DEFENSIVA'!AB11</f>
        <v>0</v>
      </c>
      <c r="H11" s="54">
        <f>'FASE DEFENSIVA'!AC11</f>
        <v>0</v>
      </c>
      <c r="I11" s="57">
        <f t="shared" si="3"/>
        <v>0</v>
      </c>
      <c r="J11" s="56">
        <f t="shared" si="4"/>
        <v>0</v>
      </c>
      <c r="K11" s="144"/>
      <c r="L11" s="51" t="s">
        <v>23</v>
      </c>
      <c r="M11" s="115" t="s">
        <v>33</v>
      </c>
      <c r="N11" s="56">
        <v>0</v>
      </c>
      <c r="O11" s="145"/>
      <c r="P11" s="70" t="s">
        <v>23</v>
      </c>
      <c r="Q11" s="115" t="s">
        <v>28</v>
      </c>
      <c r="R11" s="73">
        <v>0</v>
      </c>
      <c r="S11" s="144"/>
      <c r="T11" s="50" t="s">
        <v>23</v>
      </c>
      <c r="U11" s="115" t="s">
        <v>164</v>
      </c>
      <c r="V11" s="57">
        <v>0</v>
      </c>
      <c r="W11" s="144"/>
    </row>
    <row r="12" spans="1:23" x14ac:dyDescent="0.3">
      <c r="A12" s="85" t="str">
        <f>'FASE OFENSIVA'!A12</f>
        <v>LUCAS SENNA</v>
      </c>
      <c r="B12" s="54">
        <f>'FASE OFENSIVA'!AB12</f>
        <v>-2</v>
      </c>
      <c r="C12" s="54">
        <f>'FASE OFENSIVA'!AC12</f>
        <v>0</v>
      </c>
      <c r="D12" s="54">
        <f>'FASE OFENSIVA'!AD12</f>
        <v>0</v>
      </c>
      <c r="E12" s="55">
        <f t="shared" si="2"/>
        <v>-2</v>
      </c>
      <c r="F12" s="54">
        <f>'FASE DEFENSIVA'!AA12</f>
        <v>0</v>
      </c>
      <c r="G12" s="54">
        <f>'FASE DEFENSIVA'!AB12</f>
        <v>0</v>
      </c>
      <c r="H12" s="54">
        <f>'FASE DEFENSIVA'!AC12</f>
        <v>0</v>
      </c>
      <c r="I12" s="57">
        <f t="shared" si="3"/>
        <v>0</v>
      </c>
      <c r="J12" s="56">
        <f t="shared" si="4"/>
        <v>-2</v>
      </c>
      <c r="K12" s="144"/>
      <c r="L12" s="51" t="s">
        <v>23</v>
      </c>
      <c r="M12" s="115" t="s">
        <v>162</v>
      </c>
      <c r="N12" s="56">
        <v>0</v>
      </c>
      <c r="O12" s="145"/>
      <c r="P12" s="70" t="s">
        <v>23</v>
      </c>
      <c r="Q12" s="115" t="s">
        <v>33</v>
      </c>
      <c r="R12" s="73">
        <v>0</v>
      </c>
      <c r="S12" s="144"/>
      <c r="T12" s="50" t="s">
        <v>23</v>
      </c>
      <c r="U12" s="115" t="s">
        <v>33</v>
      </c>
      <c r="V12" s="57">
        <v>0</v>
      </c>
      <c r="W12" s="144"/>
    </row>
    <row r="13" spans="1:23" x14ac:dyDescent="0.3">
      <c r="A13" s="85" t="str">
        <f>'FASE OFENSIVA'!A13</f>
        <v>GARCIA</v>
      </c>
      <c r="B13" s="54">
        <f>'FASE OFENSIVA'!AB13</f>
        <v>0</v>
      </c>
      <c r="C13" s="54">
        <f>'FASE OFENSIVA'!AC13</f>
        <v>0</v>
      </c>
      <c r="D13" s="54">
        <f>'FASE OFENSIVA'!AD13</f>
        <v>0</v>
      </c>
      <c r="E13" s="55">
        <f t="shared" si="2"/>
        <v>0</v>
      </c>
      <c r="F13" s="54">
        <f>'FASE DEFENSIVA'!AA13</f>
        <v>0</v>
      </c>
      <c r="G13" s="54">
        <f>'FASE DEFENSIVA'!AB13</f>
        <v>0</v>
      </c>
      <c r="H13" s="54">
        <f>'FASE DEFENSIVA'!AC13</f>
        <v>0</v>
      </c>
      <c r="I13" s="57">
        <f t="shared" si="3"/>
        <v>0</v>
      </c>
      <c r="J13" s="56">
        <f t="shared" si="4"/>
        <v>0</v>
      </c>
      <c r="K13" s="144"/>
      <c r="L13" s="51" t="s">
        <v>23</v>
      </c>
      <c r="M13" s="115" t="s">
        <v>32</v>
      </c>
      <c r="N13" s="56">
        <v>0</v>
      </c>
      <c r="O13" s="145"/>
      <c r="P13" s="70" t="s">
        <v>23</v>
      </c>
      <c r="Q13" s="115" t="s">
        <v>162</v>
      </c>
      <c r="R13" s="73">
        <v>0</v>
      </c>
      <c r="S13" s="144"/>
      <c r="T13" s="50" t="s">
        <v>23</v>
      </c>
      <c r="U13" s="115" t="s">
        <v>162</v>
      </c>
      <c r="V13" s="57">
        <v>0</v>
      </c>
      <c r="W13" s="144"/>
    </row>
    <row r="14" spans="1:23" x14ac:dyDescent="0.3">
      <c r="A14" s="85" t="str">
        <f>'FASE OFENSIVA'!A14</f>
        <v>FOGO</v>
      </c>
      <c r="B14" s="54">
        <f>'FASE OFENSIVA'!AB14</f>
        <v>0</v>
      </c>
      <c r="C14" s="54">
        <f>'FASE OFENSIVA'!AC14</f>
        <v>0</v>
      </c>
      <c r="D14" s="54">
        <f>'FASE OFENSIVA'!AD14</f>
        <v>0</v>
      </c>
      <c r="E14" s="55">
        <f t="shared" si="2"/>
        <v>0</v>
      </c>
      <c r="F14" s="54">
        <f>'FASE DEFENSIVA'!AA14</f>
        <v>0</v>
      </c>
      <c r="G14" s="54">
        <f>'FASE DEFENSIVA'!AB14</f>
        <v>0</v>
      </c>
      <c r="H14" s="54">
        <f>'FASE DEFENSIVA'!AC14</f>
        <v>0</v>
      </c>
      <c r="I14" s="57">
        <f t="shared" si="3"/>
        <v>0</v>
      </c>
      <c r="J14" s="56">
        <f t="shared" si="4"/>
        <v>0</v>
      </c>
      <c r="K14" s="144"/>
      <c r="L14" s="51" t="s">
        <v>23</v>
      </c>
      <c r="M14" s="115" t="s">
        <v>34</v>
      </c>
      <c r="N14" s="56">
        <v>0</v>
      </c>
      <c r="O14" s="145"/>
      <c r="P14" s="70" t="s">
        <v>23</v>
      </c>
      <c r="Q14" s="115" t="s">
        <v>32</v>
      </c>
      <c r="R14" s="73">
        <v>0</v>
      </c>
      <c r="S14" s="144"/>
      <c r="T14" s="50" t="s">
        <v>23</v>
      </c>
      <c r="U14" s="115" t="s">
        <v>32</v>
      </c>
      <c r="V14" s="57">
        <v>0</v>
      </c>
      <c r="W14" s="144"/>
    </row>
    <row r="15" spans="1:23" x14ac:dyDescent="0.3">
      <c r="A15" s="85" t="str">
        <f>'FASE OFENSIVA'!A15</f>
        <v>TITO</v>
      </c>
      <c r="B15" s="54">
        <f>'FASE OFENSIVA'!AB15</f>
        <v>0</v>
      </c>
      <c r="C15" s="54">
        <f>'FASE OFENSIVA'!AC15</f>
        <v>0</v>
      </c>
      <c r="D15" s="54">
        <f>'FASE OFENSIVA'!AD15</f>
        <v>0</v>
      </c>
      <c r="E15" s="55">
        <f t="shared" si="2"/>
        <v>0</v>
      </c>
      <c r="F15" s="54">
        <f>'FASE DEFENSIVA'!AA15</f>
        <v>0</v>
      </c>
      <c r="G15" s="54">
        <f>'FASE DEFENSIVA'!AB15</f>
        <v>0</v>
      </c>
      <c r="H15" s="54">
        <f>'FASE DEFENSIVA'!AC15</f>
        <v>0</v>
      </c>
      <c r="I15" s="57">
        <f t="shared" si="3"/>
        <v>0</v>
      </c>
      <c r="J15" s="56">
        <f t="shared" si="4"/>
        <v>0</v>
      </c>
      <c r="K15" s="144"/>
      <c r="L15" s="51" t="s">
        <v>23</v>
      </c>
      <c r="M15" s="115" t="s">
        <v>36</v>
      </c>
      <c r="N15" s="56">
        <v>0</v>
      </c>
      <c r="O15" s="145"/>
      <c r="P15" s="70" t="s">
        <v>23</v>
      </c>
      <c r="Q15" s="115" t="s">
        <v>34</v>
      </c>
      <c r="R15" s="73">
        <v>0</v>
      </c>
      <c r="S15" s="144"/>
      <c r="T15" s="50" t="s">
        <v>23</v>
      </c>
      <c r="U15" s="115" t="s">
        <v>34</v>
      </c>
      <c r="V15" s="57">
        <v>0</v>
      </c>
      <c r="W15" s="144"/>
    </row>
    <row r="16" spans="1:23" x14ac:dyDescent="0.3">
      <c r="A16" s="85" t="str">
        <f>'FASE OFENSIVA'!A16</f>
        <v>PIETRO</v>
      </c>
      <c r="B16" s="54">
        <f>'FASE OFENSIVA'!AB16</f>
        <v>0</v>
      </c>
      <c r="C16" s="54">
        <f>'FASE OFENSIVA'!AC16</f>
        <v>0</v>
      </c>
      <c r="D16" s="54">
        <f>'FASE OFENSIVA'!AD16</f>
        <v>0</v>
      </c>
      <c r="E16" s="55">
        <f t="shared" si="2"/>
        <v>0</v>
      </c>
      <c r="F16" s="54">
        <f>'FASE DEFENSIVA'!AA16</f>
        <v>0</v>
      </c>
      <c r="G16" s="54">
        <f>'FASE DEFENSIVA'!AB16</f>
        <v>0</v>
      </c>
      <c r="H16" s="54">
        <f>'FASE DEFENSIVA'!AC16</f>
        <v>0</v>
      </c>
      <c r="I16" s="57">
        <f t="shared" si="3"/>
        <v>0</v>
      </c>
      <c r="J16" s="56">
        <f t="shared" si="4"/>
        <v>0</v>
      </c>
      <c r="K16" s="144"/>
      <c r="L16" s="51" t="s">
        <v>23</v>
      </c>
      <c r="M16" s="115" t="s">
        <v>37</v>
      </c>
      <c r="N16" s="56">
        <v>0</v>
      </c>
      <c r="O16" s="145"/>
      <c r="P16" s="70" t="s">
        <v>23</v>
      </c>
      <c r="Q16" s="115" t="s">
        <v>36</v>
      </c>
      <c r="R16" s="73">
        <v>0</v>
      </c>
      <c r="S16" s="144"/>
      <c r="T16" s="50" t="s">
        <v>23</v>
      </c>
      <c r="U16" s="115" t="s">
        <v>36</v>
      </c>
      <c r="V16" s="57">
        <v>0</v>
      </c>
      <c r="W16" s="144"/>
    </row>
    <row r="17" spans="1:23" x14ac:dyDescent="0.3">
      <c r="A17" s="85" t="str">
        <f>'FASE OFENSIVA'!A17</f>
        <v>ALYSSON</v>
      </c>
      <c r="B17" s="54">
        <f>'FASE OFENSIVA'!AB17</f>
        <v>0</v>
      </c>
      <c r="C17" s="54">
        <f>'FASE OFENSIVA'!AC17</f>
        <v>0</v>
      </c>
      <c r="D17" s="54">
        <f>'FASE OFENSIVA'!AD17</f>
        <v>0</v>
      </c>
      <c r="E17" s="55">
        <f t="shared" si="2"/>
        <v>0</v>
      </c>
      <c r="F17" s="54">
        <f>'FASE DEFENSIVA'!AA17</f>
        <v>0</v>
      </c>
      <c r="G17" s="54">
        <f>'FASE DEFENSIVA'!AB17</f>
        <v>0</v>
      </c>
      <c r="H17" s="54">
        <f>'FASE DEFENSIVA'!AC17</f>
        <v>0</v>
      </c>
      <c r="I17" s="57">
        <f t="shared" si="3"/>
        <v>0</v>
      </c>
      <c r="J17" s="56">
        <f t="shared" si="4"/>
        <v>0</v>
      </c>
      <c r="K17" s="144"/>
      <c r="L17" s="51" t="s">
        <v>23</v>
      </c>
      <c r="M17" s="115" t="s">
        <v>163</v>
      </c>
      <c r="N17" s="56">
        <v>0</v>
      </c>
      <c r="O17" s="145"/>
      <c r="P17" s="70" t="s">
        <v>23</v>
      </c>
      <c r="Q17" s="115" t="s">
        <v>37</v>
      </c>
      <c r="R17" s="73">
        <v>0</v>
      </c>
      <c r="S17" s="144"/>
      <c r="T17" s="50" t="s">
        <v>23</v>
      </c>
      <c r="U17" s="115" t="s">
        <v>37</v>
      </c>
      <c r="V17" s="57">
        <v>0</v>
      </c>
      <c r="W17" s="144"/>
    </row>
    <row r="18" spans="1:23" x14ac:dyDescent="0.3">
      <c r="A18" s="85" t="str">
        <f>'FASE OFENSIVA'!A18</f>
        <v>LÉO ELIAS</v>
      </c>
      <c r="B18" s="54">
        <f>'FASE OFENSIVA'!AB18</f>
        <v>0</v>
      </c>
      <c r="C18" s="54">
        <f>'FASE OFENSIVA'!AC18</f>
        <v>0</v>
      </c>
      <c r="D18" s="54">
        <f>'FASE OFENSIVA'!AD18</f>
        <v>0</v>
      </c>
      <c r="E18" s="55">
        <f t="shared" si="2"/>
        <v>0</v>
      </c>
      <c r="F18" s="54">
        <f>'FASE DEFENSIVA'!AA18</f>
        <v>0</v>
      </c>
      <c r="G18" s="54">
        <f>'FASE DEFENSIVA'!AB18</f>
        <v>0</v>
      </c>
      <c r="H18" s="54">
        <f>'FASE DEFENSIVA'!AC18</f>
        <v>0</v>
      </c>
      <c r="I18" s="57">
        <f t="shared" si="3"/>
        <v>0</v>
      </c>
      <c r="J18" s="56">
        <f t="shared" si="4"/>
        <v>0</v>
      </c>
      <c r="K18" s="144"/>
      <c r="L18" s="51" t="s">
        <v>23</v>
      </c>
      <c r="M18" s="115" t="s">
        <v>161</v>
      </c>
      <c r="N18" s="56">
        <v>0</v>
      </c>
      <c r="O18" s="145"/>
      <c r="P18" s="70" t="s">
        <v>23</v>
      </c>
      <c r="Q18" s="115" t="s">
        <v>163</v>
      </c>
      <c r="R18" s="73">
        <v>0</v>
      </c>
      <c r="S18" s="144"/>
      <c r="T18" s="50" t="s">
        <v>23</v>
      </c>
      <c r="U18" s="115" t="s">
        <v>163</v>
      </c>
      <c r="V18" s="57">
        <v>0</v>
      </c>
      <c r="W18" s="144"/>
    </row>
    <row r="19" spans="1:23" x14ac:dyDescent="0.3">
      <c r="A19" s="85" t="str">
        <f>'FASE OFENSIVA'!A19</f>
        <v>LÉO RUDEK</v>
      </c>
      <c r="B19" s="54">
        <f>'FASE OFENSIVA'!AB19</f>
        <v>0</v>
      </c>
      <c r="C19" s="54">
        <f>'FASE OFENSIVA'!AC19</f>
        <v>0</v>
      </c>
      <c r="D19" s="54">
        <f>'FASE OFENSIVA'!AD19</f>
        <v>0</v>
      </c>
      <c r="E19" s="55">
        <f t="shared" si="2"/>
        <v>0</v>
      </c>
      <c r="F19" s="54">
        <f>'FASE DEFENSIVA'!AA19</f>
        <v>0</v>
      </c>
      <c r="G19" s="54">
        <f>'FASE DEFENSIVA'!AB19</f>
        <v>0</v>
      </c>
      <c r="H19" s="54">
        <f>'FASE DEFENSIVA'!AC19</f>
        <v>0</v>
      </c>
      <c r="I19" s="57">
        <f t="shared" si="3"/>
        <v>0</v>
      </c>
      <c r="J19" s="56">
        <f t="shared" si="4"/>
        <v>0</v>
      </c>
      <c r="K19" s="144"/>
      <c r="L19" s="51" t="s">
        <v>167</v>
      </c>
      <c r="M19" s="115" t="s">
        <v>25</v>
      </c>
      <c r="N19" s="56">
        <v>-1</v>
      </c>
      <c r="O19" s="145"/>
      <c r="P19" s="70" t="s">
        <v>23</v>
      </c>
      <c r="Q19" s="115" t="s">
        <v>161</v>
      </c>
      <c r="R19" s="73">
        <v>0</v>
      </c>
      <c r="S19" s="144"/>
      <c r="T19" s="50" t="s">
        <v>23</v>
      </c>
      <c r="U19" s="115" t="s">
        <v>161</v>
      </c>
      <c r="V19" s="57">
        <v>0</v>
      </c>
      <c r="W19" s="144"/>
    </row>
    <row r="20" spans="1:23" x14ac:dyDescent="0.3">
      <c r="A20" s="85" t="str">
        <f>'FASE OFENSIVA'!A20</f>
        <v>BAISCH</v>
      </c>
      <c r="B20" s="54">
        <f>'FASE OFENSIVA'!AB20</f>
        <v>0</v>
      </c>
      <c r="C20" s="54">
        <f>'FASE OFENSIVA'!AC20</f>
        <v>0</v>
      </c>
      <c r="D20" s="54">
        <f>'FASE OFENSIVA'!AD20</f>
        <v>0</v>
      </c>
      <c r="E20" s="55">
        <f t="shared" si="2"/>
        <v>0</v>
      </c>
      <c r="F20" s="54">
        <f>'FASE DEFENSIVA'!AA20</f>
        <v>0</v>
      </c>
      <c r="G20" s="54">
        <f>'FASE DEFENSIVA'!AB20</f>
        <v>0</v>
      </c>
      <c r="H20" s="54">
        <f>'FASE DEFENSIVA'!AC20</f>
        <v>0</v>
      </c>
      <c r="I20" s="57">
        <f t="shared" si="3"/>
        <v>0</v>
      </c>
      <c r="J20" s="56">
        <f t="shared" si="4"/>
        <v>0</v>
      </c>
      <c r="K20" s="144"/>
      <c r="L20" s="51" t="s">
        <v>109</v>
      </c>
      <c r="M20" s="115" t="s">
        <v>164</v>
      </c>
      <c r="N20" s="56">
        <v>-2</v>
      </c>
      <c r="O20" s="145"/>
      <c r="P20" s="70" t="s">
        <v>109</v>
      </c>
      <c r="Q20" s="115" t="s">
        <v>164</v>
      </c>
      <c r="R20" s="73">
        <v>-2</v>
      </c>
      <c r="S20" s="144"/>
      <c r="T20" s="50" t="s">
        <v>109</v>
      </c>
      <c r="U20" s="115" t="s">
        <v>25</v>
      </c>
      <c r="V20" s="57">
        <v>-1</v>
      </c>
      <c r="W20" s="144"/>
    </row>
    <row r="21" spans="1:23" x14ac:dyDescent="0.3">
      <c r="K21" s="144"/>
      <c r="L21" s="144"/>
      <c r="M21" s="144"/>
      <c r="N21" s="144"/>
      <c r="O21" s="145"/>
      <c r="P21" s="144"/>
      <c r="Q21" s="144"/>
      <c r="R21" s="144"/>
      <c r="S21" s="144"/>
      <c r="T21" s="144"/>
      <c r="U21" s="144"/>
      <c r="V21" s="144"/>
      <c r="W21" s="144"/>
    </row>
    <row r="22" spans="1:23" x14ac:dyDescent="0.3">
      <c r="A22" s="64" t="s">
        <v>2</v>
      </c>
      <c r="B22" s="65" t="s">
        <v>20</v>
      </c>
      <c r="C22" s="65" t="s">
        <v>21</v>
      </c>
      <c r="D22" s="65" t="s">
        <v>19</v>
      </c>
      <c r="O22" s="52"/>
    </row>
    <row r="23" spans="1:23" x14ac:dyDescent="0.3">
      <c r="A23" s="113" t="str">
        <f>'FASE OFENSIVA'!A5</f>
        <v>MATEUS</v>
      </c>
      <c r="B23" s="58">
        <f t="shared" ref="B23:B38" si="5">E5-E$2</f>
        <v>0.125</v>
      </c>
      <c r="C23" s="58">
        <f t="shared" ref="C23:C38" si="6">I5-I$2</f>
        <v>-0.9375</v>
      </c>
      <c r="D23" s="58">
        <f t="shared" ref="D23:D38" si="7">J5-J$2</f>
        <v>-0.8125</v>
      </c>
      <c r="F23" s="46"/>
      <c r="G23" s="46"/>
      <c r="H23" s="46"/>
      <c r="I23" s="46"/>
      <c r="O23" s="52"/>
    </row>
    <row r="24" spans="1:23" x14ac:dyDescent="0.3">
      <c r="A24" s="113" t="str">
        <f>'FASE OFENSIVA'!A6</f>
        <v>RAFINHA</v>
      </c>
      <c r="B24" s="58">
        <f t="shared" si="5"/>
        <v>0.125</v>
      </c>
      <c r="C24" s="58">
        <f t="shared" si="6"/>
        <v>6.25E-2</v>
      </c>
      <c r="D24" s="58">
        <f t="shared" si="7"/>
        <v>0.1875</v>
      </c>
      <c r="F24" s="46"/>
      <c r="G24" s="46"/>
      <c r="H24" s="46"/>
      <c r="I24" s="46"/>
      <c r="O24" s="52"/>
    </row>
    <row r="25" spans="1:23" x14ac:dyDescent="0.3">
      <c r="A25" s="113" t="str">
        <f>'FASE OFENSIVA'!A7</f>
        <v>TARIQ</v>
      </c>
      <c r="B25" s="58">
        <f t="shared" si="5"/>
        <v>0.125</v>
      </c>
      <c r="C25" s="58">
        <f t="shared" si="6"/>
        <v>6.25E-2</v>
      </c>
      <c r="D25" s="58">
        <f t="shared" si="7"/>
        <v>0.1875</v>
      </c>
      <c r="O25" s="52"/>
    </row>
    <row r="26" spans="1:23" x14ac:dyDescent="0.3">
      <c r="A26" s="113" t="str">
        <f>'FASE OFENSIVA'!A8</f>
        <v>TETEU</v>
      </c>
      <c r="B26" s="58">
        <f t="shared" si="5"/>
        <v>0.125</v>
      </c>
      <c r="C26" s="58">
        <f t="shared" si="6"/>
        <v>6.25E-2</v>
      </c>
      <c r="D26" s="58">
        <f t="shared" si="7"/>
        <v>0.1875</v>
      </c>
      <c r="O26" s="52"/>
    </row>
    <row r="27" spans="1:23" x14ac:dyDescent="0.3">
      <c r="A27" s="113" t="str">
        <f>'FASE OFENSIVA'!A9</f>
        <v>LORENZO</v>
      </c>
      <c r="B27" s="58">
        <f t="shared" si="5"/>
        <v>0.125</v>
      </c>
      <c r="C27" s="58">
        <f t="shared" si="6"/>
        <v>6.25E-2</v>
      </c>
      <c r="D27" s="58">
        <f t="shared" si="7"/>
        <v>0.1875</v>
      </c>
      <c r="O27" s="52"/>
    </row>
    <row r="28" spans="1:23" x14ac:dyDescent="0.3">
      <c r="A28" s="113" t="str">
        <f>'FASE OFENSIVA'!A10</f>
        <v>PEPO</v>
      </c>
      <c r="B28" s="58">
        <f t="shared" si="5"/>
        <v>0.125</v>
      </c>
      <c r="C28" s="58">
        <f t="shared" si="6"/>
        <v>6.25E-2</v>
      </c>
      <c r="D28" s="58">
        <f t="shared" si="7"/>
        <v>0.1875</v>
      </c>
      <c r="O28" s="52"/>
    </row>
    <row r="29" spans="1:23" x14ac:dyDescent="0.3">
      <c r="A29" s="113" t="str">
        <f>'FASE OFENSIVA'!A11</f>
        <v>ROGÉRIO</v>
      </c>
      <c r="B29" s="58">
        <f t="shared" si="5"/>
        <v>0.125</v>
      </c>
      <c r="C29" s="58">
        <f t="shared" si="6"/>
        <v>6.25E-2</v>
      </c>
      <c r="D29" s="58">
        <f t="shared" si="7"/>
        <v>0.1875</v>
      </c>
      <c r="O29" s="52"/>
    </row>
    <row r="30" spans="1:23" x14ac:dyDescent="0.3">
      <c r="A30" s="113" t="str">
        <f>'FASE OFENSIVA'!A12</f>
        <v>LUCAS SENNA</v>
      </c>
      <c r="B30" s="58">
        <f t="shared" si="5"/>
        <v>-1.875</v>
      </c>
      <c r="C30" s="58">
        <f t="shared" si="6"/>
        <v>6.25E-2</v>
      </c>
      <c r="D30" s="58">
        <f t="shared" si="7"/>
        <v>-1.8125</v>
      </c>
      <c r="O30" s="52"/>
    </row>
    <row r="31" spans="1:23" x14ac:dyDescent="0.3">
      <c r="A31" s="113" t="str">
        <f>'FASE OFENSIVA'!A13</f>
        <v>GARCIA</v>
      </c>
      <c r="B31" s="58">
        <f t="shared" si="5"/>
        <v>0.125</v>
      </c>
      <c r="C31" s="58">
        <f t="shared" si="6"/>
        <v>6.25E-2</v>
      </c>
      <c r="D31" s="58">
        <f t="shared" si="7"/>
        <v>0.1875</v>
      </c>
      <c r="O31" s="52"/>
    </row>
    <row r="32" spans="1:23" x14ac:dyDescent="0.3">
      <c r="A32" s="113" t="str">
        <f>'FASE OFENSIVA'!A14</f>
        <v>FOGO</v>
      </c>
      <c r="B32" s="58">
        <f t="shared" si="5"/>
        <v>0.125</v>
      </c>
      <c r="C32" s="58">
        <f t="shared" si="6"/>
        <v>6.25E-2</v>
      </c>
      <c r="D32" s="58">
        <f t="shared" si="7"/>
        <v>0.1875</v>
      </c>
      <c r="O32" s="52"/>
    </row>
    <row r="33" spans="1:15" x14ac:dyDescent="0.3">
      <c r="A33" s="113" t="str">
        <f>'FASE OFENSIVA'!A15</f>
        <v>TITO</v>
      </c>
      <c r="B33" s="58">
        <f t="shared" si="5"/>
        <v>0.125</v>
      </c>
      <c r="C33" s="58">
        <f t="shared" si="6"/>
        <v>6.25E-2</v>
      </c>
      <c r="D33" s="58">
        <f t="shared" si="7"/>
        <v>0.1875</v>
      </c>
      <c r="O33" s="52"/>
    </row>
    <row r="34" spans="1:15" x14ac:dyDescent="0.3">
      <c r="A34" s="113" t="str">
        <f>'FASE OFENSIVA'!A16</f>
        <v>PIETRO</v>
      </c>
      <c r="B34" s="58">
        <f t="shared" si="5"/>
        <v>0.125</v>
      </c>
      <c r="C34" s="58">
        <f t="shared" si="6"/>
        <v>6.25E-2</v>
      </c>
      <c r="D34" s="58">
        <f t="shared" si="7"/>
        <v>0.1875</v>
      </c>
      <c r="O34" s="52"/>
    </row>
    <row r="35" spans="1:15" x14ac:dyDescent="0.3">
      <c r="A35" s="113" t="str">
        <f>'FASE OFENSIVA'!A17</f>
        <v>ALYSSON</v>
      </c>
      <c r="B35" s="58">
        <f t="shared" si="5"/>
        <v>0.125</v>
      </c>
      <c r="C35" s="58">
        <f t="shared" si="6"/>
        <v>6.25E-2</v>
      </c>
      <c r="D35" s="58">
        <f t="shared" si="7"/>
        <v>0.1875</v>
      </c>
      <c r="O35" s="52"/>
    </row>
    <row r="36" spans="1:15" x14ac:dyDescent="0.3">
      <c r="A36" s="113" t="str">
        <f>'FASE OFENSIVA'!A18</f>
        <v>LÉO ELIAS</v>
      </c>
      <c r="B36" s="58">
        <f t="shared" si="5"/>
        <v>0.125</v>
      </c>
      <c r="C36" s="58">
        <f t="shared" si="6"/>
        <v>6.25E-2</v>
      </c>
      <c r="D36" s="58">
        <f t="shared" si="7"/>
        <v>0.1875</v>
      </c>
      <c r="O36" s="52"/>
    </row>
    <row r="37" spans="1:15" x14ac:dyDescent="0.3">
      <c r="A37" s="113" t="str">
        <f>'FASE OFENSIVA'!A19</f>
        <v>LÉO RUDEK</v>
      </c>
      <c r="B37" s="58">
        <f t="shared" si="5"/>
        <v>0.125</v>
      </c>
      <c r="C37" s="58">
        <f t="shared" si="6"/>
        <v>6.25E-2</v>
      </c>
      <c r="D37" s="58">
        <f t="shared" si="7"/>
        <v>0.1875</v>
      </c>
      <c r="O37" s="52"/>
    </row>
    <row r="38" spans="1:15" x14ac:dyDescent="0.3">
      <c r="A38" s="113" t="str">
        <f>'FASE OFENSIVA'!A20</f>
        <v>BAISCH</v>
      </c>
      <c r="B38" s="58">
        <f t="shared" si="5"/>
        <v>0.125</v>
      </c>
      <c r="C38" s="58">
        <f t="shared" si="6"/>
        <v>6.25E-2</v>
      </c>
      <c r="D38" s="58">
        <f t="shared" si="7"/>
        <v>0.1875</v>
      </c>
      <c r="O38" s="52"/>
    </row>
    <row r="39" spans="1:15" x14ac:dyDescent="0.3">
      <c r="O39" s="52"/>
    </row>
    <row r="40" spans="1:15" x14ac:dyDescent="0.3">
      <c r="O40" s="52"/>
    </row>
    <row r="41" spans="1:15" x14ac:dyDescent="0.3">
      <c r="O41" s="52"/>
    </row>
    <row r="42" spans="1:15" x14ac:dyDescent="0.3">
      <c r="F42" s="46"/>
      <c r="G42" s="46"/>
      <c r="H42" s="46"/>
      <c r="I42" s="46"/>
      <c r="O42" s="52"/>
    </row>
    <row r="43" spans="1:15" x14ac:dyDescent="0.3">
      <c r="F43" s="46"/>
      <c r="G43" s="46"/>
      <c r="H43" s="46"/>
      <c r="I43" s="46"/>
      <c r="O43" s="52"/>
    </row>
    <row r="44" spans="1:15" x14ac:dyDescent="0.3">
      <c r="O44" s="52"/>
    </row>
    <row r="45" spans="1:15" x14ac:dyDescent="0.3">
      <c r="O45" s="52"/>
    </row>
    <row r="46" spans="1:15" x14ac:dyDescent="0.3">
      <c r="O46" s="52"/>
    </row>
    <row r="47" spans="1:15" x14ac:dyDescent="0.3">
      <c r="O47" s="52"/>
    </row>
    <row r="48" spans="1:15" x14ac:dyDescent="0.3">
      <c r="O48" s="52"/>
    </row>
    <row r="49" spans="12:15" x14ac:dyDescent="0.3">
      <c r="O49" s="52"/>
    </row>
    <row r="50" spans="12:15" x14ac:dyDescent="0.3">
      <c r="O50" s="52"/>
    </row>
    <row r="51" spans="12:15" x14ac:dyDescent="0.3">
      <c r="O51" s="52"/>
    </row>
    <row r="52" spans="12:15" x14ac:dyDescent="0.3">
      <c r="O52" s="52"/>
    </row>
    <row r="53" spans="12:15" x14ac:dyDescent="0.3">
      <c r="O53" s="52"/>
    </row>
    <row r="54" spans="12:15" x14ac:dyDescent="0.3">
      <c r="O54" s="52"/>
    </row>
    <row r="55" spans="12:15" x14ac:dyDescent="0.3">
      <c r="O55" s="52"/>
    </row>
    <row r="57" spans="12:15" x14ac:dyDescent="0.3">
      <c r="L57" s="52"/>
      <c r="M57" s="53"/>
      <c r="N57" s="52"/>
    </row>
  </sheetData>
  <sortState xmlns:xlrd2="http://schemas.microsoft.com/office/spreadsheetml/2017/richdata2" ref="U5:V20">
    <sortCondition descending="1" ref="V5:V20"/>
  </sortState>
  <mergeCells count="6">
    <mergeCell ref="J3:J4"/>
    <mergeCell ref="L3:N3"/>
    <mergeCell ref="P3:R3"/>
    <mergeCell ref="T3:V3"/>
    <mergeCell ref="B3:E3"/>
    <mergeCell ref="F3:I3"/>
  </mergeCells>
  <phoneticPr fontId="4" type="noConversion"/>
  <conditionalFormatting sqref="B5:D20">
    <cfRule type="colorScale" priority="27">
      <colorScale>
        <cfvo type="min"/>
        <cfvo type="max"/>
        <color theme="8" tint="-0.249977111117893"/>
        <color rgb="FF002060"/>
      </colorScale>
    </cfRule>
    <cfRule type="colorScale" priority="28">
      <colorScale>
        <cfvo type="min"/>
        <cfvo type="max"/>
        <color rgb="FF002060"/>
        <color theme="4" tint="0.39997558519241921"/>
      </colorScale>
    </cfRule>
    <cfRule type="colorScale" priority="29">
      <colorScale>
        <cfvo type="min"/>
        <cfvo type="max"/>
        <color theme="8" tint="0.79998168889431442"/>
        <color rgb="FF002060"/>
      </colorScale>
    </cfRule>
  </conditionalFormatting>
  <conditionalFormatting sqref="B5:D20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{701B5732-1A17-4D65-83A9-F7DF5F4C2EFB}</x14:id>
        </ext>
      </extLst>
    </cfRule>
  </conditionalFormatting>
  <conditionalFormatting sqref="B5:D20">
    <cfRule type="dataBar" priority="6">
      <dataBar>
        <cfvo type="min"/>
        <cfvo type="num" val="50"/>
        <color rgb="FF638EC6"/>
      </dataBar>
      <extLst>
        <ext xmlns:x14="http://schemas.microsoft.com/office/spreadsheetml/2009/9/main" uri="{B025F937-C7B1-47D3-B67F-A62EFF666E3E}">
          <x14:id>{2870EE0F-F63A-4094-B599-A15B950776B0}</x14:id>
        </ext>
      </extLst>
    </cfRule>
    <cfRule type="dataBar" priority="9">
      <dataBar>
        <cfvo type="min"/>
        <cfvo type="num" val="50"/>
        <color rgb="FF638EC6"/>
      </dataBar>
      <extLst>
        <ext xmlns:x14="http://schemas.microsoft.com/office/spreadsheetml/2009/9/main" uri="{B025F937-C7B1-47D3-B67F-A62EFF666E3E}">
          <x14:id>{11B8E2B6-E945-4718-8718-BAB1E4B1AFE1}</x14:id>
        </ext>
      </extLst>
    </cfRule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{1C209A1E-9064-4632-8C09-DEEBFEFF002E}</x14:id>
        </ext>
      </extLst>
    </cfRule>
  </conditionalFormatting>
  <conditionalFormatting sqref="C5:C20">
    <cfRule type="colorScale" priority="24">
      <colorScale>
        <cfvo type="min"/>
        <cfvo type="max"/>
        <color theme="8" tint="-0.249977111117893"/>
        <color rgb="FF002060"/>
      </colorScale>
    </cfRule>
    <cfRule type="colorScale" priority="25">
      <colorScale>
        <cfvo type="min"/>
        <cfvo type="max"/>
        <color rgb="FF002060"/>
        <color theme="4" tint="0.39997558519241921"/>
      </colorScale>
    </cfRule>
    <cfRule type="colorScale" priority="26">
      <colorScale>
        <cfvo type="min"/>
        <cfvo type="max"/>
        <color theme="8" tint="0.79998168889431442"/>
        <color rgb="FF002060"/>
      </colorScale>
    </cfRule>
  </conditionalFormatting>
  <conditionalFormatting sqref="D5:D20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{ACE9EC8C-AEB3-4A52-BF1E-B98977B8EB36}</x14:id>
        </ext>
      </extLst>
    </cfRule>
    <cfRule type="colorScale" priority="21">
      <colorScale>
        <cfvo type="min"/>
        <cfvo type="max"/>
        <color theme="8" tint="-0.249977111117893"/>
        <color rgb="FF002060"/>
      </colorScale>
    </cfRule>
    <cfRule type="colorScale" priority="22">
      <colorScale>
        <cfvo type="min"/>
        <cfvo type="max"/>
        <color rgb="FF002060"/>
        <color theme="4" tint="0.39997558519241921"/>
      </colorScale>
    </cfRule>
    <cfRule type="colorScale" priority="23">
      <colorScale>
        <cfvo type="min"/>
        <cfvo type="max"/>
        <color theme="8" tint="0.79998168889431442"/>
        <color rgb="FF002060"/>
      </colorScale>
    </cfRule>
  </conditionalFormatting>
  <conditionalFormatting sqref="F5:H20">
    <cfRule type="colorScale" priority="15">
      <colorScale>
        <cfvo type="min"/>
        <cfvo type="max"/>
        <color theme="5" tint="0.39997558519241921"/>
        <color theme="5" tint="-0.499984740745262"/>
      </colorScale>
    </cfRule>
  </conditionalFormatting>
  <conditionalFormatting sqref="F5:H20">
    <cfRule type="dataBar" priority="7">
      <dataBar>
        <cfvo type="min"/>
        <cfvo type="num" val="50"/>
        <color theme="5" tint="0.39997558519241921"/>
      </dataBar>
      <extLst>
        <ext xmlns:x14="http://schemas.microsoft.com/office/spreadsheetml/2009/9/main" uri="{B025F937-C7B1-47D3-B67F-A62EFF666E3E}">
          <x14:id>{548B56DF-AF92-4063-BB17-110978026C64}</x14:id>
        </ext>
      </extLst>
    </cfRule>
    <cfRule type="dataBar" priority="8">
      <dataBar>
        <cfvo type="min"/>
        <cfvo type="num" val="50"/>
        <color rgb="FF638EC6"/>
      </dataBar>
      <extLst>
        <ext xmlns:x14="http://schemas.microsoft.com/office/spreadsheetml/2009/9/main" uri="{B025F937-C7B1-47D3-B67F-A62EFF666E3E}">
          <x14:id>{6861CFDD-4B1A-46EA-94C3-C66B125C855B}</x14:id>
        </ext>
      </extLst>
    </cfRule>
    <cfRule type="dataBar" priority="12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{69726FD9-0F9E-4BAB-8E77-B2EEAF2DEBD2}</x14:id>
        </ext>
      </extLst>
    </cfRule>
  </conditionalFormatting>
  <conditionalFormatting sqref="G5:G20">
    <cfRule type="colorScale" priority="14">
      <colorScale>
        <cfvo type="min"/>
        <cfvo type="max"/>
        <color theme="5" tint="0.39997558519241921"/>
        <color theme="5" tint="-0.499984740745262"/>
      </colorScale>
    </cfRule>
  </conditionalFormatting>
  <conditionalFormatting sqref="H5:H20">
    <cfRule type="colorScale" priority="13">
      <colorScale>
        <cfvo type="min"/>
        <cfvo type="max"/>
        <color theme="5" tint="0.39997558519241921"/>
        <color theme="5" tint="-0.499984740745262"/>
      </colorScale>
    </cfRule>
  </conditionalFormatting>
  <conditionalFormatting sqref="B23:B38">
    <cfRule type="dataBar" priority="4">
      <dataBar>
        <cfvo type="min"/>
        <cfvo type="num" val="30"/>
        <color rgb="FF638EC6"/>
      </dataBar>
      <extLst>
        <ext xmlns:x14="http://schemas.microsoft.com/office/spreadsheetml/2009/9/main" uri="{B025F937-C7B1-47D3-B67F-A62EFF666E3E}">
          <x14:id>{46492000-5A7D-4AFC-9737-008F6C88BEBB}</x14:id>
        </ext>
      </extLst>
    </cfRule>
    <cfRule type="colorScale" priority="16">
      <colorScale>
        <cfvo type="min"/>
        <cfvo type="max"/>
        <color theme="8" tint="-0.249977111117893"/>
        <color rgb="FF002060"/>
      </colorScale>
    </cfRule>
    <cfRule type="colorScale" priority="17">
      <colorScale>
        <cfvo type="min"/>
        <cfvo type="max"/>
        <color theme="8" tint="0.39997558519241921"/>
        <color theme="8" tint="-0.499984740745262"/>
      </colorScale>
    </cfRule>
    <cfRule type="colorScale" priority="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3:D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3:C38">
    <cfRule type="dataBar" priority="3">
      <dataBar>
        <cfvo type="min"/>
        <cfvo type="num" val="30"/>
        <color theme="5" tint="0.39997558519241921"/>
      </dataBar>
      <extLst>
        <ext xmlns:x14="http://schemas.microsoft.com/office/spreadsheetml/2009/9/main" uri="{B025F937-C7B1-47D3-B67F-A62EFF666E3E}">
          <x14:id>{9325E075-3964-4CC6-BCD4-B8EFF40018C6}</x14:id>
        </ext>
      </extLst>
    </cfRule>
    <cfRule type="colorScale" priority="18">
      <colorScale>
        <cfvo type="min"/>
        <cfvo type="max"/>
        <color theme="5" tint="0.39997558519241921"/>
        <color theme="5" tint="-0.499984740745262"/>
      </colorScale>
    </cfRule>
  </conditionalFormatting>
  <conditionalFormatting sqref="D23:D38">
    <cfRule type="dataBar" priority="1">
      <dataBar>
        <cfvo type="min"/>
        <cfvo type="num" val="60"/>
        <color theme="7" tint="0.39997558519241921"/>
      </dataBar>
      <extLst>
        <ext xmlns:x14="http://schemas.microsoft.com/office/spreadsheetml/2009/9/main" uri="{B025F937-C7B1-47D3-B67F-A62EFF666E3E}">
          <x14:id>{EC65EEDF-FA15-49E6-AE22-5B4F7D7D8F36}</x14:id>
        </ext>
      </extLst>
    </cfRule>
    <cfRule type="dataBar" priority="2">
      <dataBar>
        <cfvo type="min"/>
        <cfvo type="num" val="30"/>
        <color theme="7" tint="0.39997558519241921"/>
      </dataBar>
      <extLst>
        <ext xmlns:x14="http://schemas.microsoft.com/office/spreadsheetml/2009/9/main" uri="{B025F937-C7B1-47D3-B67F-A62EFF666E3E}">
          <x14:id>{F59072AB-1FA1-4352-99F7-0FBA959CFC89}</x14:id>
        </ext>
      </extLst>
    </cfRule>
    <cfRule type="colorScale" priority="5">
      <colorScale>
        <cfvo type="min"/>
        <cfvo type="max"/>
        <color theme="7" tint="0.39997558519241921"/>
        <color theme="7" tint="-0.499984740745262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01B5732-1A17-4D65-83A9-F7DF5F4C2EFB}">
            <x14:dataBar minLength="0" maxLength="100" border="1" gradient="0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B5:D20</xm:sqref>
        </x14:conditionalFormatting>
        <x14:conditionalFormatting xmlns:xm="http://schemas.microsoft.com/office/excel/2006/main">
          <x14:cfRule type="dataBar" id="{2870EE0F-F63A-4094-B599-A15B950776B0}">
            <x14:dataBar minLength="0" maxLength="100" border="1" gradient="0">
              <x14:cfvo type="min"/>
              <x14:cfvo type="num">
                <xm:f>50</xm:f>
              </x14:cfvo>
              <x14:borderColor theme="0"/>
              <x14:negativeFillColor rgb="FFFF0000"/>
              <x14:axisColor rgb="FF000000"/>
            </x14:dataBar>
          </x14:cfRule>
          <x14:cfRule type="dataBar" id="{11B8E2B6-E945-4718-8718-BAB1E4B1AFE1}">
            <x14:dataBar minLength="0" maxLength="100" gradient="0">
              <x14:cfvo type="min"/>
              <x14:cfvo type="num">
                <xm:f>50</xm:f>
              </x14:cfvo>
              <x14:negativeFillColor rgb="FFFF0000"/>
              <x14:axisColor rgb="FF000000"/>
            </x14:dataBar>
          </x14:cfRule>
          <x14:cfRule type="dataBar" id="{1C209A1E-9064-4632-8C09-DEEBFEFF0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B5:D20</xm:sqref>
        </x14:conditionalFormatting>
        <x14:conditionalFormatting xmlns:xm="http://schemas.microsoft.com/office/excel/2006/main">
          <x14:cfRule type="dataBar" id="{ACE9EC8C-AEB3-4A52-BF1E-B98977B8EB36}">
            <x14:dataBar minLength="0" maxLength="100" border="1" gradient="0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D5:D20</xm:sqref>
        </x14:conditionalFormatting>
        <x14:conditionalFormatting xmlns:xm="http://schemas.microsoft.com/office/excel/2006/main">
          <x14:cfRule type="dataBar" id="{548B56DF-AF92-4063-BB17-110978026C64}">
            <x14:dataBar minLength="0" maxLength="100" border="1" gradient="0">
              <x14:cfvo type="min"/>
              <x14:cfvo type="num">
                <xm:f>50</xm:f>
              </x14:cfvo>
              <x14:borderColor theme="0"/>
              <x14:negativeFillColor rgb="FFFF0000"/>
              <x14:axisColor rgb="FF000000"/>
            </x14:dataBar>
          </x14:cfRule>
          <x14:cfRule type="dataBar" id="{6861CFDD-4B1A-46EA-94C3-C66B125C855B}">
            <x14:dataBar minLength="0" maxLength="100" gradient="0">
              <x14:cfvo type="min"/>
              <x14:cfvo type="num">
                <xm:f>50</xm:f>
              </x14:cfvo>
              <x14:negativeFillColor rgb="FFFF0000"/>
              <x14:axisColor rgb="FF000000"/>
            </x14:dataBar>
          </x14:cfRule>
          <x14:cfRule type="dataBar" id="{69726FD9-0F9E-4BAB-8E77-B2EEAF2DEBD2}">
            <x14:dataBar minLength="0" maxLength="100" border="1" gradient="0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F5:H20</xm:sqref>
        </x14:conditionalFormatting>
        <x14:conditionalFormatting xmlns:xm="http://schemas.microsoft.com/office/excel/2006/main">
          <x14:cfRule type="dataBar" id="{46492000-5A7D-4AFC-9737-008F6C88BEBB}">
            <x14:dataBar minLength="0" maxLength="100" border="1" gradient="0">
              <x14:cfvo type="min"/>
              <x14:cfvo type="num">
                <xm:f>30</xm:f>
              </x14:cfvo>
              <x14:borderColor theme="0"/>
              <x14:negativeFillColor rgb="FFFF0000"/>
              <x14:axisColor rgb="FF000000"/>
            </x14:dataBar>
          </x14:cfRule>
          <xm:sqref>B23:B38</xm:sqref>
        </x14:conditionalFormatting>
        <x14:conditionalFormatting xmlns:xm="http://schemas.microsoft.com/office/excel/2006/main">
          <x14:cfRule type="dataBar" id="{9325E075-3964-4CC6-BCD4-B8EFF40018C6}">
            <x14:dataBar minLength="0" maxLength="100" border="1" gradient="0">
              <x14:cfvo type="min"/>
              <x14:cfvo type="num">
                <xm:f>30</xm:f>
              </x14:cfvo>
              <x14:borderColor theme="0"/>
              <x14:negativeFillColor rgb="FFFF0000"/>
              <x14:axisColor rgb="FF000000"/>
            </x14:dataBar>
          </x14:cfRule>
          <xm:sqref>C23:C38</xm:sqref>
        </x14:conditionalFormatting>
        <x14:conditionalFormatting xmlns:xm="http://schemas.microsoft.com/office/excel/2006/main">
          <x14:cfRule type="dataBar" id="{EC65EEDF-FA15-49E6-AE22-5B4F7D7D8F36}">
            <x14:dataBar minLength="0" maxLength="100" border="1" gradient="0">
              <x14:cfvo type="min"/>
              <x14:cfvo type="num">
                <xm:f>60</xm:f>
              </x14:cfvo>
              <x14:borderColor theme="0"/>
              <x14:negativeFillColor rgb="FFFF0000"/>
              <x14:axisColor rgb="FF000000"/>
            </x14:dataBar>
          </x14:cfRule>
          <x14:cfRule type="dataBar" id="{F59072AB-1FA1-4352-99F7-0FBA959CFC89}">
            <x14:dataBar minLength="0" maxLength="100" border="1" gradient="0">
              <x14:cfvo type="min"/>
              <x14:cfvo type="num">
                <xm:f>30</xm:f>
              </x14:cfvo>
              <x14:borderColor theme="0"/>
              <x14:negativeFillColor rgb="FFFF0000"/>
              <x14:axisColor rgb="FF000000"/>
            </x14:dataBar>
          </x14:cfRule>
          <xm:sqref>D23:D38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93AD4-1E06-4C9D-933A-A2D836C8EB65}">
  <sheetPr codeName="Planilha4"/>
  <dimension ref="A1:R74"/>
  <sheetViews>
    <sheetView workbookViewId="0">
      <selection activeCell="E22" sqref="E22"/>
    </sheetView>
  </sheetViews>
  <sheetFormatPr defaultRowHeight="14.4" x14ac:dyDescent="0.3"/>
  <cols>
    <col min="1" max="1" width="5.77734375" style="52" customWidth="1"/>
    <col min="2" max="2" width="17.33203125" style="53" customWidth="1"/>
    <col min="3" max="5" width="9" style="52" bestFit="1" customWidth="1"/>
    <col min="6" max="6" width="9" style="52" customWidth="1"/>
    <col min="7" max="7" width="8.88671875" style="46"/>
    <col min="8" max="8" width="4.77734375" style="46" customWidth="1"/>
    <col min="9" max="9" width="18.77734375" style="46" customWidth="1"/>
    <col min="10" max="10" width="8.88671875" style="46"/>
    <col min="11" max="11" width="3.21875" style="46" customWidth="1"/>
    <col min="12" max="12" width="4.77734375" style="46" customWidth="1"/>
    <col min="13" max="13" width="18.77734375" style="46" customWidth="1"/>
    <col min="14" max="14" width="8.88671875" style="46"/>
    <col min="15" max="15" width="3.21875" style="46" customWidth="1"/>
    <col min="16" max="16" width="4.77734375" style="46" customWidth="1"/>
    <col min="17" max="17" width="18.77734375" style="46" customWidth="1"/>
    <col min="18" max="16384" width="8.88671875" style="46"/>
  </cols>
  <sheetData>
    <row r="1" spans="2:18" ht="15.6" x14ac:dyDescent="0.3">
      <c r="B1" s="47"/>
      <c r="C1" s="48">
        <f>AVERAGE(C4:C19)</f>
        <v>-0.125</v>
      </c>
      <c r="D1" s="48">
        <f t="shared" ref="D1:F1" si="0">AVERAGE(D4:D19)</f>
        <v>0</v>
      </c>
      <c r="E1" s="48">
        <f t="shared" si="0"/>
        <v>0</v>
      </c>
      <c r="F1" s="48">
        <f t="shared" si="0"/>
        <v>-0.125</v>
      </c>
      <c r="H1" s="185" t="s">
        <v>103</v>
      </c>
      <c r="I1" s="185"/>
      <c r="J1" s="185" t="s">
        <v>15</v>
      </c>
      <c r="L1" s="189" t="s">
        <v>103</v>
      </c>
      <c r="M1" s="190"/>
      <c r="N1" s="191" t="s">
        <v>15</v>
      </c>
      <c r="P1" s="185" t="s">
        <v>103</v>
      </c>
      <c r="Q1" s="185"/>
      <c r="R1" s="185" t="s">
        <v>15</v>
      </c>
    </row>
    <row r="2" spans="2:18" x14ac:dyDescent="0.3">
      <c r="B2" s="49"/>
      <c r="C2" s="187" t="s">
        <v>103</v>
      </c>
      <c r="D2" s="187"/>
      <c r="E2" s="187"/>
      <c r="F2" s="187"/>
      <c r="H2" s="192" t="s">
        <v>113</v>
      </c>
      <c r="I2" s="192"/>
      <c r="J2" s="192"/>
      <c r="L2" s="192" t="s">
        <v>53</v>
      </c>
      <c r="M2" s="192"/>
      <c r="N2" s="192" t="s">
        <v>15</v>
      </c>
      <c r="P2" s="192" t="s">
        <v>61</v>
      </c>
      <c r="Q2" s="192"/>
      <c r="R2" s="192" t="s">
        <v>15</v>
      </c>
    </row>
    <row r="3" spans="2:18" x14ac:dyDescent="0.3">
      <c r="B3" s="64" t="s">
        <v>2</v>
      </c>
      <c r="C3" s="60" t="s">
        <v>157</v>
      </c>
      <c r="D3" s="60" t="s">
        <v>98</v>
      </c>
      <c r="E3" s="60" t="s">
        <v>13</v>
      </c>
      <c r="F3" s="61" t="s">
        <v>107</v>
      </c>
      <c r="H3" s="66" t="s">
        <v>110</v>
      </c>
      <c r="I3" s="67" t="s">
        <v>112</v>
      </c>
      <c r="J3" s="66" t="s">
        <v>111</v>
      </c>
      <c r="L3" s="66" t="s">
        <v>110</v>
      </c>
      <c r="M3" s="67" t="s">
        <v>112</v>
      </c>
      <c r="N3" s="66" t="s">
        <v>111</v>
      </c>
      <c r="P3" s="66" t="s">
        <v>110</v>
      </c>
      <c r="Q3" s="67" t="s">
        <v>112</v>
      </c>
      <c r="R3" s="66" t="s">
        <v>111</v>
      </c>
    </row>
    <row r="4" spans="2:18" x14ac:dyDescent="0.3">
      <c r="B4" s="85" t="str">
        <f>'FASE OFENSIVA'!A5</f>
        <v>MATEUS</v>
      </c>
      <c r="C4" s="54">
        <f>Pontos!B5</f>
        <v>0</v>
      </c>
      <c r="D4" s="54">
        <f>Pontos!C5</f>
        <v>0</v>
      </c>
      <c r="E4" s="54">
        <f>Pontos!D5</f>
        <v>0</v>
      </c>
      <c r="F4" s="55">
        <f>SUM(C4:E4)</f>
        <v>0</v>
      </c>
      <c r="H4" s="70">
        <v>1</v>
      </c>
      <c r="I4" s="116" t="s">
        <v>25</v>
      </c>
      <c r="J4" s="73">
        <v>0</v>
      </c>
      <c r="L4" s="70">
        <v>1</v>
      </c>
      <c r="M4" s="116" t="s">
        <v>25</v>
      </c>
      <c r="N4" s="73">
        <v>0</v>
      </c>
      <c r="P4" s="70">
        <v>1</v>
      </c>
      <c r="Q4" s="116" t="s">
        <v>25</v>
      </c>
      <c r="R4" s="73">
        <v>0</v>
      </c>
    </row>
    <row r="5" spans="2:18" x14ac:dyDescent="0.3">
      <c r="B5" s="85" t="str">
        <f>'FASE OFENSIVA'!A6</f>
        <v>RAFINHA</v>
      </c>
      <c r="C5" s="54">
        <f>Pontos!B6</f>
        <v>0</v>
      </c>
      <c r="D5" s="54">
        <f>Pontos!C6</f>
        <v>0</v>
      </c>
      <c r="E5" s="54">
        <f>Pontos!D6</f>
        <v>0</v>
      </c>
      <c r="F5" s="55">
        <f t="shared" ref="F5:F19" si="1">SUM(C5:E5)</f>
        <v>0</v>
      </c>
      <c r="H5" s="70">
        <v>1</v>
      </c>
      <c r="I5" s="116" t="s">
        <v>26</v>
      </c>
      <c r="J5" s="73">
        <v>0</v>
      </c>
      <c r="L5" s="70">
        <v>1</v>
      </c>
      <c r="M5" s="116" t="s">
        <v>26</v>
      </c>
      <c r="N5" s="73">
        <v>0</v>
      </c>
      <c r="P5" s="70">
        <v>1</v>
      </c>
      <c r="Q5" s="116" t="s">
        <v>26</v>
      </c>
      <c r="R5" s="73">
        <v>0</v>
      </c>
    </row>
    <row r="6" spans="2:18" x14ac:dyDescent="0.3">
      <c r="B6" s="85" t="str">
        <f>'FASE OFENSIVA'!A7</f>
        <v>TARIQ</v>
      </c>
      <c r="C6" s="54">
        <f>Pontos!B7</f>
        <v>0</v>
      </c>
      <c r="D6" s="54">
        <f>Pontos!C7</f>
        <v>0</v>
      </c>
      <c r="E6" s="54">
        <f>Pontos!D7</f>
        <v>0</v>
      </c>
      <c r="F6" s="55">
        <f t="shared" si="1"/>
        <v>0</v>
      </c>
      <c r="H6" s="70">
        <v>1</v>
      </c>
      <c r="I6" s="116" t="s">
        <v>24</v>
      </c>
      <c r="J6" s="73">
        <v>0</v>
      </c>
      <c r="L6" s="70">
        <v>1</v>
      </c>
      <c r="M6" s="116" t="s">
        <v>24</v>
      </c>
      <c r="N6" s="73">
        <v>0</v>
      </c>
      <c r="P6" s="70">
        <v>1</v>
      </c>
      <c r="Q6" s="116" t="s">
        <v>24</v>
      </c>
      <c r="R6" s="73">
        <v>0</v>
      </c>
    </row>
    <row r="7" spans="2:18" x14ac:dyDescent="0.3">
      <c r="B7" s="85" t="str">
        <f>'FASE OFENSIVA'!A8</f>
        <v>TETEU</v>
      </c>
      <c r="C7" s="54">
        <f>Pontos!B8</f>
        <v>0</v>
      </c>
      <c r="D7" s="54">
        <f>Pontos!C8</f>
        <v>0</v>
      </c>
      <c r="E7" s="54">
        <f>Pontos!D8</f>
        <v>0</v>
      </c>
      <c r="F7" s="55">
        <f t="shared" si="1"/>
        <v>0</v>
      </c>
      <c r="H7" s="70">
        <v>1</v>
      </c>
      <c r="I7" s="116" t="s">
        <v>27</v>
      </c>
      <c r="J7" s="73">
        <v>0</v>
      </c>
      <c r="L7" s="70">
        <v>1</v>
      </c>
      <c r="M7" s="116" t="s">
        <v>27</v>
      </c>
      <c r="N7" s="73">
        <v>0</v>
      </c>
      <c r="P7" s="70">
        <v>1</v>
      </c>
      <c r="Q7" s="116" t="s">
        <v>27</v>
      </c>
      <c r="R7" s="73">
        <v>0</v>
      </c>
    </row>
    <row r="8" spans="2:18" x14ac:dyDescent="0.3">
      <c r="B8" s="85" t="str">
        <f>'FASE OFENSIVA'!A9</f>
        <v>LORENZO</v>
      </c>
      <c r="C8" s="54">
        <f>Pontos!B9</f>
        <v>0</v>
      </c>
      <c r="D8" s="54">
        <f>Pontos!C9</f>
        <v>0</v>
      </c>
      <c r="E8" s="54">
        <f>Pontos!D9</f>
        <v>0</v>
      </c>
      <c r="F8" s="55">
        <f t="shared" si="1"/>
        <v>0</v>
      </c>
      <c r="H8" s="70">
        <v>1</v>
      </c>
      <c r="I8" s="116" t="s">
        <v>31</v>
      </c>
      <c r="J8" s="73">
        <v>0</v>
      </c>
      <c r="L8" s="70">
        <v>1</v>
      </c>
      <c r="M8" s="116" t="s">
        <v>31</v>
      </c>
      <c r="N8" s="73">
        <v>0</v>
      </c>
      <c r="P8" s="70">
        <v>1</v>
      </c>
      <c r="Q8" s="116" t="s">
        <v>31</v>
      </c>
      <c r="R8" s="73">
        <v>0</v>
      </c>
    </row>
    <row r="9" spans="2:18" x14ac:dyDescent="0.3">
      <c r="B9" s="85" t="str">
        <f>'FASE OFENSIVA'!A10</f>
        <v>PEPO</v>
      </c>
      <c r="C9" s="54">
        <f>Pontos!B10</f>
        <v>0</v>
      </c>
      <c r="D9" s="54">
        <f>Pontos!C10</f>
        <v>0</v>
      </c>
      <c r="E9" s="54">
        <f>Pontos!D10</f>
        <v>0</v>
      </c>
      <c r="F9" s="55">
        <f t="shared" si="1"/>
        <v>0</v>
      </c>
      <c r="H9" s="70">
        <v>1</v>
      </c>
      <c r="I9" s="116" t="s">
        <v>29</v>
      </c>
      <c r="J9" s="73">
        <v>0</v>
      </c>
      <c r="L9" s="70">
        <v>1</v>
      </c>
      <c r="M9" s="116" t="s">
        <v>29</v>
      </c>
      <c r="N9" s="73">
        <v>0</v>
      </c>
      <c r="P9" s="70">
        <v>1</v>
      </c>
      <c r="Q9" s="116" t="s">
        <v>29</v>
      </c>
      <c r="R9" s="73">
        <v>0</v>
      </c>
    </row>
    <row r="10" spans="2:18" x14ac:dyDescent="0.3">
      <c r="B10" s="85" t="str">
        <f>'FASE OFENSIVA'!A11</f>
        <v>ROGÉRIO</v>
      </c>
      <c r="C10" s="54">
        <f>Pontos!B11</f>
        <v>0</v>
      </c>
      <c r="D10" s="54">
        <f>Pontos!C11</f>
        <v>0</v>
      </c>
      <c r="E10" s="54">
        <f>Pontos!D11</f>
        <v>0</v>
      </c>
      <c r="F10" s="55">
        <f t="shared" si="1"/>
        <v>0</v>
      </c>
      <c r="H10" s="70">
        <v>1</v>
      </c>
      <c r="I10" s="116" t="s">
        <v>28</v>
      </c>
      <c r="J10" s="73">
        <v>0</v>
      </c>
      <c r="L10" s="70">
        <v>1</v>
      </c>
      <c r="M10" s="116" t="s">
        <v>28</v>
      </c>
      <c r="N10" s="73">
        <v>0</v>
      </c>
      <c r="P10" s="70">
        <v>1</v>
      </c>
      <c r="Q10" s="116" t="s">
        <v>28</v>
      </c>
      <c r="R10" s="73">
        <v>0</v>
      </c>
    </row>
    <row r="11" spans="2:18" x14ac:dyDescent="0.3">
      <c r="B11" s="85" t="str">
        <f>'FASE OFENSIVA'!A12</f>
        <v>LUCAS SENNA</v>
      </c>
      <c r="C11" s="54">
        <f>Pontos!B12</f>
        <v>-2</v>
      </c>
      <c r="D11" s="54">
        <f>Pontos!C12</f>
        <v>0</v>
      </c>
      <c r="E11" s="54">
        <f>Pontos!D12</f>
        <v>0</v>
      </c>
      <c r="F11" s="55">
        <f t="shared" si="1"/>
        <v>-2</v>
      </c>
      <c r="H11" s="70">
        <v>1</v>
      </c>
      <c r="I11" s="116" t="s">
        <v>33</v>
      </c>
      <c r="J11" s="73">
        <v>0</v>
      </c>
      <c r="L11" s="70">
        <v>1</v>
      </c>
      <c r="M11" s="116" t="s">
        <v>164</v>
      </c>
      <c r="N11" s="73">
        <v>0</v>
      </c>
      <c r="P11" s="70">
        <v>1</v>
      </c>
      <c r="Q11" s="116" t="s">
        <v>164</v>
      </c>
      <c r="R11" s="73">
        <v>0</v>
      </c>
    </row>
    <row r="12" spans="2:18" x14ac:dyDescent="0.3">
      <c r="B12" s="85" t="str">
        <f>'FASE OFENSIVA'!A13</f>
        <v>GARCIA</v>
      </c>
      <c r="C12" s="54">
        <f>Pontos!B13</f>
        <v>0</v>
      </c>
      <c r="D12" s="54">
        <f>Pontos!C13</f>
        <v>0</v>
      </c>
      <c r="E12" s="54">
        <f>Pontos!D13</f>
        <v>0</v>
      </c>
      <c r="F12" s="55">
        <f t="shared" si="1"/>
        <v>0</v>
      </c>
      <c r="H12" s="70">
        <v>1</v>
      </c>
      <c r="I12" s="116" t="s">
        <v>162</v>
      </c>
      <c r="J12" s="73">
        <v>0</v>
      </c>
      <c r="L12" s="70">
        <v>1</v>
      </c>
      <c r="M12" s="116" t="s">
        <v>33</v>
      </c>
      <c r="N12" s="73">
        <v>0</v>
      </c>
      <c r="P12" s="70">
        <v>1</v>
      </c>
      <c r="Q12" s="116" t="s">
        <v>33</v>
      </c>
      <c r="R12" s="73">
        <v>0</v>
      </c>
    </row>
    <row r="13" spans="2:18" x14ac:dyDescent="0.3">
      <c r="B13" s="85" t="str">
        <f>'FASE OFENSIVA'!A14</f>
        <v>FOGO</v>
      </c>
      <c r="C13" s="54">
        <f>Pontos!B14</f>
        <v>0</v>
      </c>
      <c r="D13" s="54">
        <f>Pontos!C14</f>
        <v>0</v>
      </c>
      <c r="E13" s="54">
        <f>Pontos!D14</f>
        <v>0</v>
      </c>
      <c r="F13" s="55">
        <f t="shared" si="1"/>
        <v>0</v>
      </c>
      <c r="H13" s="70">
        <v>1</v>
      </c>
      <c r="I13" s="116" t="s">
        <v>32</v>
      </c>
      <c r="J13" s="73">
        <v>0</v>
      </c>
      <c r="L13" s="70">
        <v>1</v>
      </c>
      <c r="M13" s="116" t="s">
        <v>162</v>
      </c>
      <c r="N13" s="73">
        <v>0</v>
      </c>
      <c r="P13" s="70">
        <v>1</v>
      </c>
      <c r="Q13" s="116" t="s">
        <v>162</v>
      </c>
      <c r="R13" s="73">
        <v>0</v>
      </c>
    </row>
    <row r="14" spans="2:18" x14ac:dyDescent="0.3">
      <c r="B14" s="85" t="str">
        <f>'FASE OFENSIVA'!A15</f>
        <v>TITO</v>
      </c>
      <c r="C14" s="54">
        <f>Pontos!B15</f>
        <v>0</v>
      </c>
      <c r="D14" s="54">
        <f>Pontos!C15</f>
        <v>0</v>
      </c>
      <c r="E14" s="54">
        <f>Pontos!D15</f>
        <v>0</v>
      </c>
      <c r="F14" s="55">
        <f t="shared" si="1"/>
        <v>0</v>
      </c>
      <c r="H14" s="70">
        <v>1</v>
      </c>
      <c r="I14" s="116" t="s">
        <v>34</v>
      </c>
      <c r="J14" s="73">
        <v>0</v>
      </c>
      <c r="L14" s="70">
        <v>1</v>
      </c>
      <c r="M14" s="116" t="s">
        <v>32</v>
      </c>
      <c r="N14" s="73">
        <v>0</v>
      </c>
      <c r="P14" s="70">
        <v>1</v>
      </c>
      <c r="Q14" s="116" t="s">
        <v>32</v>
      </c>
      <c r="R14" s="73">
        <v>0</v>
      </c>
    </row>
    <row r="15" spans="2:18" x14ac:dyDescent="0.3">
      <c r="B15" s="85" t="str">
        <f>'FASE OFENSIVA'!A16</f>
        <v>PIETRO</v>
      </c>
      <c r="C15" s="54">
        <f>Pontos!B16</f>
        <v>0</v>
      </c>
      <c r="D15" s="54">
        <f>Pontos!C16</f>
        <v>0</v>
      </c>
      <c r="E15" s="54">
        <f>Pontos!D16</f>
        <v>0</v>
      </c>
      <c r="F15" s="55">
        <f t="shared" si="1"/>
        <v>0</v>
      </c>
      <c r="H15" s="70">
        <v>1</v>
      </c>
      <c r="I15" s="116" t="s">
        <v>36</v>
      </c>
      <c r="J15" s="73">
        <v>0</v>
      </c>
      <c r="L15" s="70">
        <v>1</v>
      </c>
      <c r="M15" s="116" t="s">
        <v>34</v>
      </c>
      <c r="N15" s="73">
        <v>0</v>
      </c>
      <c r="P15" s="70">
        <v>1</v>
      </c>
      <c r="Q15" s="116" t="s">
        <v>34</v>
      </c>
      <c r="R15" s="73">
        <v>0</v>
      </c>
    </row>
    <row r="16" spans="2:18" x14ac:dyDescent="0.3">
      <c r="B16" s="85" t="str">
        <f>'FASE OFENSIVA'!A17</f>
        <v>ALYSSON</v>
      </c>
      <c r="C16" s="54">
        <f>Pontos!B17</f>
        <v>0</v>
      </c>
      <c r="D16" s="54">
        <f>Pontos!C17</f>
        <v>0</v>
      </c>
      <c r="E16" s="54">
        <f>Pontos!D17</f>
        <v>0</v>
      </c>
      <c r="F16" s="55">
        <f t="shared" si="1"/>
        <v>0</v>
      </c>
      <c r="H16" s="70">
        <v>1</v>
      </c>
      <c r="I16" s="116" t="s">
        <v>37</v>
      </c>
      <c r="J16" s="73">
        <v>0</v>
      </c>
      <c r="L16" s="70">
        <v>1</v>
      </c>
      <c r="M16" s="116" t="s">
        <v>36</v>
      </c>
      <c r="N16" s="73">
        <v>0</v>
      </c>
      <c r="P16" s="70">
        <v>1</v>
      </c>
      <c r="Q16" s="116" t="s">
        <v>36</v>
      </c>
      <c r="R16" s="73">
        <v>0</v>
      </c>
    </row>
    <row r="17" spans="1:18" x14ac:dyDescent="0.3">
      <c r="B17" s="85" t="str">
        <f>'FASE OFENSIVA'!A18</f>
        <v>LÉO ELIAS</v>
      </c>
      <c r="C17" s="54">
        <f>Pontos!B18</f>
        <v>0</v>
      </c>
      <c r="D17" s="54">
        <f>Pontos!C18</f>
        <v>0</v>
      </c>
      <c r="E17" s="54">
        <f>Pontos!D18</f>
        <v>0</v>
      </c>
      <c r="F17" s="55">
        <f t="shared" si="1"/>
        <v>0</v>
      </c>
      <c r="H17" s="70">
        <v>1</v>
      </c>
      <c r="I17" s="116" t="s">
        <v>163</v>
      </c>
      <c r="J17" s="73">
        <v>0</v>
      </c>
      <c r="L17" s="70">
        <v>1</v>
      </c>
      <c r="M17" s="116" t="s">
        <v>37</v>
      </c>
      <c r="N17" s="73">
        <v>0</v>
      </c>
      <c r="P17" s="70">
        <v>1</v>
      </c>
      <c r="Q17" s="116" t="s">
        <v>37</v>
      </c>
      <c r="R17" s="73">
        <v>0</v>
      </c>
    </row>
    <row r="18" spans="1:18" x14ac:dyDescent="0.3">
      <c r="B18" s="85" t="str">
        <f>'FASE OFENSIVA'!A19</f>
        <v>LÉO RUDEK</v>
      </c>
      <c r="C18" s="54">
        <f>Pontos!B19</f>
        <v>0</v>
      </c>
      <c r="D18" s="54">
        <f>Pontos!C19</f>
        <v>0</v>
      </c>
      <c r="E18" s="54">
        <f>Pontos!D19</f>
        <v>0</v>
      </c>
      <c r="F18" s="55">
        <f t="shared" si="1"/>
        <v>0</v>
      </c>
      <c r="H18" s="70">
        <v>1</v>
      </c>
      <c r="I18" s="116" t="s">
        <v>161</v>
      </c>
      <c r="J18" s="73">
        <v>0</v>
      </c>
      <c r="L18" s="70">
        <v>1</v>
      </c>
      <c r="M18" s="116" t="s">
        <v>163</v>
      </c>
      <c r="N18" s="73">
        <v>0</v>
      </c>
      <c r="P18" s="70">
        <v>1</v>
      </c>
      <c r="Q18" s="116" t="s">
        <v>163</v>
      </c>
      <c r="R18" s="73">
        <v>0</v>
      </c>
    </row>
    <row r="19" spans="1:18" x14ac:dyDescent="0.3">
      <c r="B19" s="85" t="str">
        <f>'FASE OFENSIVA'!A20</f>
        <v>BAISCH</v>
      </c>
      <c r="C19" s="54">
        <f>Pontos!B20</f>
        <v>0</v>
      </c>
      <c r="D19" s="54">
        <f>Pontos!C20</f>
        <v>0</v>
      </c>
      <c r="E19" s="54">
        <f>Pontos!D20</f>
        <v>0</v>
      </c>
      <c r="F19" s="55">
        <f t="shared" si="1"/>
        <v>0</v>
      </c>
      <c r="H19" s="70">
        <v>2</v>
      </c>
      <c r="I19" s="116" t="s">
        <v>164</v>
      </c>
      <c r="J19" s="73">
        <v>-2</v>
      </c>
      <c r="L19" s="70">
        <v>1</v>
      </c>
      <c r="M19" s="116" t="s">
        <v>161</v>
      </c>
      <c r="N19" s="73">
        <v>0</v>
      </c>
      <c r="P19" s="70">
        <v>1</v>
      </c>
      <c r="Q19" s="116" t="s">
        <v>161</v>
      </c>
      <c r="R19" s="73">
        <v>0</v>
      </c>
    </row>
    <row r="21" spans="1:18" x14ac:dyDescent="0.3">
      <c r="A21" s="46"/>
      <c r="B21" s="46"/>
      <c r="C21" s="46"/>
    </row>
    <row r="22" spans="1:18" x14ac:dyDescent="0.3">
      <c r="A22" s="46"/>
      <c r="B22" s="46"/>
      <c r="C22" s="46"/>
    </row>
    <row r="23" spans="1:18" x14ac:dyDescent="0.3">
      <c r="A23" s="46"/>
      <c r="B23" s="46"/>
      <c r="C23" s="46"/>
    </row>
    <row r="24" spans="1:18" x14ac:dyDescent="0.3">
      <c r="A24" s="46"/>
      <c r="B24" s="46"/>
      <c r="C24" s="46"/>
    </row>
    <row r="25" spans="1:18" x14ac:dyDescent="0.3">
      <c r="A25" s="46"/>
      <c r="B25" s="46"/>
      <c r="C25" s="46"/>
    </row>
    <row r="26" spans="1:18" x14ac:dyDescent="0.3">
      <c r="A26" s="46"/>
      <c r="B26" s="46"/>
      <c r="C26" s="46"/>
    </row>
    <row r="27" spans="1:18" x14ac:dyDescent="0.3">
      <c r="A27" s="46"/>
      <c r="B27" s="46"/>
      <c r="C27" s="46"/>
    </row>
    <row r="28" spans="1:18" x14ac:dyDescent="0.3">
      <c r="A28" s="46"/>
      <c r="B28" s="46"/>
      <c r="C28" s="46"/>
    </row>
    <row r="29" spans="1:18" x14ac:dyDescent="0.3">
      <c r="A29" s="46"/>
      <c r="B29" s="46"/>
      <c r="C29" s="46"/>
    </row>
    <row r="30" spans="1:18" x14ac:dyDescent="0.3">
      <c r="A30" s="46"/>
      <c r="B30" s="46"/>
      <c r="C30" s="46"/>
    </row>
    <row r="31" spans="1:18" x14ac:dyDescent="0.3">
      <c r="A31" s="46"/>
      <c r="B31" s="46"/>
      <c r="C31" s="46"/>
    </row>
    <row r="32" spans="1:18" x14ac:dyDescent="0.3">
      <c r="A32" s="46"/>
      <c r="B32" s="46"/>
      <c r="C32" s="46"/>
    </row>
    <row r="33" spans="1:3" x14ac:dyDescent="0.3">
      <c r="A33" s="46"/>
      <c r="B33" s="46"/>
      <c r="C33" s="46"/>
    </row>
    <row r="34" spans="1:3" x14ac:dyDescent="0.3">
      <c r="A34" s="46"/>
      <c r="B34" s="46"/>
      <c r="C34" s="46"/>
    </row>
    <row r="35" spans="1:3" x14ac:dyDescent="0.3">
      <c r="A35" s="46"/>
      <c r="B35" s="46"/>
      <c r="C35" s="46"/>
    </row>
    <row r="36" spans="1:3" x14ac:dyDescent="0.3">
      <c r="A36" s="46"/>
      <c r="B36" s="46"/>
      <c r="C36" s="46"/>
    </row>
    <row r="37" spans="1:3" x14ac:dyDescent="0.3">
      <c r="A37" s="46"/>
      <c r="B37" s="46"/>
      <c r="C37" s="46"/>
    </row>
    <row r="38" spans="1:3" x14ac:dyDescent="0.3">
      <c r="A38" s="46"/>
      <c r="B38" s="46"/>
      <c r="C38" s="46"/>
    </row>
    <row r="39" spans="1:3" x14ac:dyDescent="0.3">
      <c r="A39" s="46"/>
      <c r="B39" s="46"/>
      <c r="C39" s="46"/>
    </row>
    <row r="40" spans="1:3" x14ac:dyDescent="0.3">
      <c r="A40" s="46"/>
      <c r="B40" s="46"/>
      <c r="C40" s="46"/>
    </row>
    <row r="41" spans="1:3" x14ac:dyDescent="0.3">
      <c r="A41" s="46"/>
      <c r="B41" s="46"/>
      <c r="C41" s="46"/>
    </row>
    <row r="42" spans="1:3" x14ac:dyDescent="0.3">
      <c r="A42" s="46"/>
      <c r="B42" s="46"/>
      <c r="C42" s="46"/>
    </row>
    <row r="43" spans="1:3" x14ac:dyDescent="0.3">
      <c r="A43" s="46"/>
      <c r="B43" s="46"/>
      <c r="C43" s="46"/>
    </row>
    <row r="44" spans="1:3" x14ac:dyDescent="0.3">
      <c r="A44" s="46"/>
      <c r="B44" s="46"/>
      <c r="C44" s="46"/>
    </row>
    <row r="45" spans="1:3" x14ac:dyDescent="0.3">
      <c r="A45" s="46"/>
      <c r="B45" s="46"/>
      <c r="C45" s="46"/>
    </row>
    <row r="46" spans="1:3" x14ac:dyDescent="0.3">
      <c r="A46" s="46"/>
      <c r="B46" s="46"/>
      <c r="C46" s="46"/>
    </row>
    <row r="47" spans="1:3" x14ac:dyDescent="0.3">
      <c r="A47" s="46"/>
      <c r="B47" s="46"/>
      <c r="C47" s="46"/>
    </row>
    <row r="48" spans="1:3" x14ac:dyDescent="0.3">
      <c r="A48" s="46"/>
      <c r="B48" s="46"/>
      <c r="C48" s="46"/>
    </row>
    <row r="49" spans="1:3" x14ac:dyDescent="0.3">
      <c r="A49" s="46"/>
      <c r="B49" s="46"/>
      <c r="C49" s="46"/>
    </row>
    <row r="50" spans="1:3" x14ac:dyDescent="0.3">
      <c r="A50" s="46"/>
      <c r="B50" s="46"/>
      <c r="C50" s="46"/>
    </row>
    <row r="51" spans="1:3" x14ac:dyDescent="0.3">
      <c r="A51" s="46"/>
      <c r="B51" s="46"/>
      <c r="C51" s="46"/>
    </row>
    <row r="52" spans="1:3" x14ac:dyDescent="0.3">
      <c r="A52" s="46"/>
      <c r="B52" s="46"/>
      <c r="C52" s="46"/>
    </row>
    <row r="53" spans="1:3" x14ac:dyDescent="0.3">
      <c r="A53" s="46"/>
      <c r="B53" s="46"/>
      <c r="C53" s="46"/>
    </row>
    <row r="54" spans="1:3" x14ac:dyDescent="0.3">
      <c r="A54" s="46"/>
      <c r="B54" s="46"/>
      <c r="C54" s="46"/>
    </row>
    <row r="55" spans="1:3" x14ac:dyDescent="0.3">
      <c r="A55" s="46"/>
      <c r="B55" s="46"/>
      <c r="C55" s="46"/>
    </row>
    <row r="56" spans="1:3" x14ac:dyDescent="0.3">
      <c r="A56" s="46"/>
      <c r="B56" s="46"/>
      <c r="C56" s="46"/>
    </row>
    <row r="57" spans="1:3" x14ac:dyDescent="0.3">
      <c r="A57" s="46"/>
      <c r="B57" s="46"/>
      <c r="C57" s="46"/>
    </row>
    <row r="58" spans="1:3" x14ac:dyDescent="0.3">
      <c r="A58" s="46"/>
      <c r="B58" s="46"/>
      <c r="C58" s="46"/>
    </row>
    <row r="59" spans="1:3" x14ac:dyDescent="0.3">
      <c r="A59" s="46"/>
      <c r="B59" s="46"/>
      <c r="C59" s="46"/>
    </row>
    <row r="60" spans="1:3" x14ac:dyDescent="0.3">
      <c r="A60" s="46"/>
      <c r="B60" s="46"/>
      <c r="C60" s="46"/>
    </row>
    <row r="61" spans="1:3" x14ac:dyDescent="0.3">
      <c r="A61" s="46"/>
      <c r="B61" s="46"/>
      <c r="C61" s="46"/>
    </row>
    <row r="62" spans="1:3" x14ac:dyDescent="0.3">
      <c r="A62" s="46"/>
      <c r="B62" s="46"/>
      <c r="C62" s="46"/>
    </row>
    <row r="63" spans="1:3" x14ac:dyDescent="0.3">
      <c r="A63" s="46"/>
      <c r="B63" s="46"/>
      <c r="C63" s="46"/>
    </row>
    <row r="64" spans="1:3" x14ac:dyDescent="0.3">
      <c r="A64" s="46"/>
      <c r="B64" s="46"/>
      <c r="C64" s="46"/>
    </row>
    <row r="65" spans="1:3" x14ac:dyDescent="0.3">
      <c r="A65" s="46"/>
      <c r="B65" s="46"/>
      <c r="C65" s="46"/>
    </row>
    <row r="66" spans="1:3" x14ac:dyDescent="0.3">
      <c r="A66" s="46"/>
      <c r="B66" s="46"/>
      <c r="C66" s="46"/>
    </row>
    <row r="67" spans="1:3" x14ac:dyDescent="0.3">
      <c r="A67" s="46"/>
      <c r="B67" s="46"/>
      <c r="C67" s="46"/>
    </row>
    <row r="68" spans="1:3" x14ac:dyDescent="0.3">
      <c r="A68" s="46"/>
      <c r="B68" s="46"/>
      <c r="C68" s="46"/>
    </row>
    <row r="69" spans="1:3" x14ac:dyDescent="0.3">
      <c r="A69" s="46"/>
      <c r="B69" s="46"/>
      <c r="C69" s="46"/>
    </row>
    <row r="70" spans="1:3" x14ac:dyDescent="0.3">
      <c r="A70" s="46"/>
      <c r="B70" s="46"/>
      <c r="C70" s="46"/>
    </row>
    <row r="71" spans="1:3" x14ac:dyDescent="0.3">
      <c r="A71" s="46"/>
      <c r="B71" s="46"/>
      <c r="C71" s="46"/>
    </row>
    <row r="72" spans="1:3" x14ac:dyDescent="0.3">
      <c r="A72" s="46"/>
      <c r="B72" s="46"/>
      <c r="C72" s="46"/>
    </row>
    <row r="73" spans="1:3" x14ac:dyDescent="0.3">
      <c r="A73" s="46"/>
      <c r="B73" s="46"/>
      <c r="C73" s="46"/>
    </row>
    <row r="74" spans="1:3" x14ac:dyDescent="0.3">
      <c r="A74" s="46"/>
      <c r="B74" s="46"/>
      <c r="C74" s="46"/>
    </row>
  </sheetData>
  <sortState xmlns:xlrd2="http://schemas.microsoft.com/office/spreadsheetml/2017/richdata2" ref="Q4:R19">
    <sortCondition descending="1" ref="R4:R19"/>
  </sortState>
  <mergeCells count="7">
    <mergeCell ref="H1:J1"/>
    <mergeCell ref="L1:N1"/>
    <mergeCell ref="P1:R1"/>
    <mergeCell ref="C2:F2"/>
    <mergeCell ref="H2:J2"/>
    <mergeCell ref="L2:N2"/>
    <mergeCell ref="P2:R2"/>
  </mergeCells>
  <conditionalFormatting sqref="C4:E19">
    <cfRule type="colorScale" priority="27">
      <colorScale>
        <cfvo type="min"/>
        <cfvo type="max"/>
        <color theme="8" tint="-0.249977111117893"/>
        <color rgb="FF002060"/>
      </colorScale>
    </cfRule>
    <cfRule type="colorScale" priority="28">
      <colorScale>
        <cfvo type="min"/>
        <cfvo type="max"/>
        <color rgb="FF002060"/>
        <color theme="4" tint="0.39997558519241921"/>
      </colorScale>
    </cfRule>
    <cfRule type="colorScale" priority="29">
      <colorScale>
        <cfvo type="min"/>
        <cfvo type="max"/>
        <color theme="8" tint="0.79998168889431442"/>
        <color rgb="FF002060"/>
      </colorScale>
    </cfRule>
  </conditionalFormatting>
  <conditionalFormatting sqref="C4:E1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{93737DE9-4A27-4A0A-9BFF-737C23134649}</x14:id>
        </ext>
      </extLst>
    </cfRule>
  </conditionalFormatting>
  <conditionalFormatting sqref="C4:E19">
    <cfRule type="dataBar" priority="6">
      <dataBar>
        <cfvo type="min"/>
        <cfvo type="num" val="50"/>
        <color rgb="FF638EC6"/>
      </dataBar>
      <extLst>
        <ext xmlns:x14="http://schemas.microsoft.com/office/spreadsheetml/2009/9/main" uri="{B025F937-C7B1-47D3-B67F-A62EFF666E3E}">
          <x14:id>{8E05D447-31CC-418F-85FF-BAFA40650BD2}</x14:id>
        </ext>
      </extLst>
    </cfRule>
    <cfRule type="dataBar" priority="9">
      <dataBar>
        <cfvo type="min"/>
        <cfvo type="num" val="50"/>
        <color rgb="FF638EC6"/>
      </dataBar>
      <extLst>
        <ext xmlns:x14="http://schemas.microsoft.com/office/spreadsheetml/2009/9/main" uri="{B025F937-C7B1-47D3-B67F-A62EFF666E3E}">
          <x14:id>{E10953B4-9ED4-41D9-9A89-1F023BCB16E1}</x14:id>
        </ext>
      </extLst>
    </cfRule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{1BB71622-9B39-43DC-AE28-28C0F762399D}</x14:id>
        </ext>
      </extLst>
    </cfRule>
  </conditionalFormatting>
  <conditionalFormatting sqref="D4:D19">
    <cfRule type="colorScale" priority="24">
      <colorScale>
        <cfvo type="min"/>
        <cfvo type="max"/>
        <color theme="8" tint="-0.249977111117893"/>
        <color rgb="FF002060"/>
      </colorScale>
    </cfRule>
    <cfRule type="colorScale" priority="25">
      <colorScale>
        <cfvo type="min"/>
        <cfvo type="max"/>
        <color rgb="FF002060"/>
        <color theme="4" tint="0.39997558519241921"/>
      </colorScale>
    </cfRule>
    <cfRule type="colorScale" priority="26">
      <colorScale>
        <cfvo type="min"/>
        <cfvo type="max"/>
        <color theme="8" tint="0.79998168889431442"/>
        <color rgb="FF002060"/>
      </colorScale>
    </cfRule>
  </conditionalFormatting>
  <conditionalFormatting sqref="E4:E19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{5127725D-B0F2-4ECB-9670-8493C51310B6}</x14:id>
        </ext>
      </extLst>
    </cfRule>
    <cfRule type="colorScale" priority="21">
      <colorScale>
        <cfvo type="min"/>
        <cfvo type="max"/>
        <color theme="8" tint="-0.249977111117893"/>
        <color rgb="FF002060"/>
      </colorScale>
    </cfRule>
    <cfRule type="colorScale" priority="22">
      <colorScale>
        <cfvo type="min"/>
        <cfvo type="max"/>
        <color rgb="FF002060"/>
        <color theme="4" tint="0.39997558519241921"/>
      </colorScale>
    </cfRule>
    <cfRule type="colorScale" priority="23">
      <colorScale>
        <cfvo type="min"/>
        <cfvo type="max"/>
        <color theme="8" tint="0.79998168889431442"/>
        <color rgb="FF002060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737DE9-4A27-4A0A-9BFF-737C23134649}">
            <x14:dataBar minLength="0" maxLength="100" border="1" gradient="0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C4:E19</xm:sqref>
        </x14:conditionalFormatting>
        <x14:conditionalFormatting xmlns:xm="http://schemas.microsoft.com/office/excel/2006/main">
          <x14:cfRule type="dataBar" id="{8E05D447-31CC-418F-85FF-BAFA40650BD2}">
            <x14:dataBar minLength="0" maxLength="100" border="1" gradient="0">
              <x14:cfvo type="min"/>
              <x14:cfvo type="num">
                <xm:f>50</xm:f>
              </x14:cfvo>
              <x14:borderColor theme="0"/>
              <x14:negativeFillColor rgb="FFFF0000"/>
              <x14:axisColor rgb="FF000000"/>
            </x14:dataBar>
          </x14:cfRule>
          <x14:cfRule type="dataBar" id="{E10953B4-9ED4-41D9-9A89-1F023BCB16E1}">
            <x14:dataBar minLength="0" maxLength="100" gradient="0">
              <x14:cfvo type="min"/>
              <x14:cfvo type="num">
                <xm:f>50</xm:f>
              </x14:cfvo>
              <x14:negativeFillColor rgb="FFFF0000"/>
              <x14:axisColor rgb="FF000000"/>
            </x14:dataBar>
          </x14:cfRule>
          <x14:cfRule type="dataBar" id="{1BB71622-9B39-43DC-AE28-28C0F76239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C4:E19</xm:sqref>
        </x14:conditionalFormatting>
        <x14:conditionalFormatting xmlns:xm="http://schemas.microsoft.com/office/excel/2006/main">
          <x14:cfRule type="dataBar" id="{5127725D-B0F2-4ECB-9670-8493C51310B6}">
            <x14:dataBar minLength="0" maxLength="100" border="1" gradient="0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E4:E19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F0C90-95DB-4CFD-8D27-8A63B3FD22C8}">
  <sheetPr codeName="Planilha5"/>
  <dimension ref="A1:R74"/>
  <sheetViews>
    <sheetView workbookViewId="0">
      <selection activeCell="L24" sqref="L24"/>
    </sheetView>
  </sheetViews>
  <sheetFormatPr defaultRowHeight="14.4" x14ac:dyDescent="0.3"/>
  <cols>
    <col min="1" max="1" width="5.77734375" style="52" customWidth="1"/>
    <col min="2" max="2" width="17.33203125" style="53" customWidth="1"/>
    <col min="3" max="5" width="9" style="52" bestFit="1" customWidth="1"/>
    <col min="6" max="6" width="9" style="52" customWidth="1"/>
    <col min="7" max="7" width="8.88671875" style="46"/>
    <col min="8" max="8" width="4.77734375" style="46" customWidth="1"/>
    <col min="9" max="9" width="18.77734375" style="46" customWidth="1"/>
    <col min="10" max="10" width="8.88671875" style="46"/>
    <col min="11" max="11" width="3.21875" style="46" customWidth="1"/>
    <col min="12" max="12" width="4.77734375" style="46" customWidth="1"/>
    <col min="13" max="13" width="18.77734375" style="46" customWidth="1"/>
    <col min="14" max="14" width="8.88671875" style="46"/>
    <col min="15" max="15" width="3.21875" style="46" customWidth="1"/>
    <col min="16" max="16" width="4.77734375" style="46" customWidth="1"/>
    <col min="17" max="17" width="18.77734375" style="46" customWidth="1"/>
    <col min="18" max="16384" width="8.88671875" style="46"/>
  </cols>
  <sheetData>
    <row r="1" spans="2:18" ht="15.6" x14ac:dyDescent="0.3">
      <c r="B1" s="47"/>
      <c r="C1" s="48">
        <f>AVERAGE(C4:C19)</f>
        <v>0.125</v>
      </c>
      <c r="D1" s="48">
        <f t="shared" ref="D1:F1" si="0">AVERAGE(D4:D19)</f>
        <v>0.125</v>
      </c>
      <c r="E1" s="48">
        <f t="shared" si="0"/>
        <v>-0.3125</v>
      </c>
      <c r="F1" s="48">
        <f t="shared" si="0"/>
        <v>-6.25E-2</v>
      </c>
      <c r="H1" s="186" t="s">
        <v>103</v>
      </c>
      <c r="I1" s="186"/>
      <c r="J1" s="186" t="s">
        <v>15</v>
      </c>
      <c r="L1" s="186" t="s">
        <v>103</v>
      </c>
      <c r="M1" s="186"/>
      <c r="N1" s="186" t="s">
        <v>15</v>
      </c>
      <c r="P1" s="186" t="s">
        <v>103</v>
      </c>
      <c r="Q1" s="186"/>
      <c r="R1" s="186" t="s">
        <v>15</v>
      </c>
    </row>
    <row r="2" spans="2:18" x14ac:dyDescent="0.3">
      <c r="B2" s="49"/>
      <c r="C2" s="188" t="s">
        <v>104</v>
      </c>
      <c r="D2" s="188"/>
      <c r="E2" s="188"/>
      <c r="F2" s="188"/>
      <c r="H2" s="193" t="s">
        <v>114</v>
      </c>
      <c r="I2" s="193"/>
      <c r="J2" s="193"/>
      <c r="L2" s="193" t="s">
        <v>100</v>
      </c>
      <c r="M2" s="193"/>
      <c r="N2" s="193" t="s">
        <v>15</v>
      </c>
      <c r="P2" s="193" t="s">
        <v>86</v>
      </c>
      <c r="Q2" s="193"/>
      <c r="R2" s="193" t="s">
        <v>15</v>
      </c>
    </row>
    <row r="3" spans="2:18" x14ac:dyDescent="0.3">
      <c r="B3" s="64" t="s">
        <v>2</v>
      </c>
      <c r="C3" s="62" t="s">
        <v>105</v>
      </c>
      <c r="D3" s="62" t="s">
        <v>106</v>
      </c>
      <c r="E3" s="62" t="s">
        <v>14</v>
      </c>
      <c r="F3" s="63" t="s">
        <v>108</v>
      </c>
      <c r="H3" s="68" t="s">
        <v>110</v>
      </c>
      <c r="I3" s="69" t="s">
        <v>112</v>
      </c>
      <c r="J3" s="68" t="s">
        <v>111</v>
      </c>
      <c r="L3" s="68" t="s">
        <v>110</v>
      </c>
      <c r="M3" s="69" t="s">
        <v>112</v>
      </c>
      <c r="N3" s="68" t="s">
        <v>111</v>
      </c>
      <c r="P3" s="68" t="s">
        <v>110</v>
      </c>
      <c r="Q3" s="69" t="s">
        <v>112</v>
      </c>
      <c r="R3" s="68" t="s">
        <v>111</v>
      </c>
    </row>
    <row r="4" spans="2:18" x14ac:dyDescent="0.3">
      <c r="B4" s="85" t="str">
        <f>'FASE OFENSIVA'!A5</f>
        <v>MATEUS</v>
      </c>
      <c r="C4" s="54">
        <f>Pontos!F5</f>
        <v>2</v>
      </c>
      <c r="D4" s="54">
        <f>Pontos!G5</f>
        <v>2</v>
      </c>
      <c r="E4" s="54">
        <f>Pontos!H5</f>
        <v>-5</v>
      </c>
      <c r="F4" s="57">
        <f>SUM(C4:E4)</f>
        <v>-1</v>
      </c>
      <c r="H4" s="50">
        <v>1</v>
      </c>
      <c r="I4" s="104" t="s">
        <v>25</v>
      </c>
      <c r="J4" s="57">
        <v>2</v>
      </c>
      <c r="L4" s="50">
        <v>1</v>
      </c>
      <c r="M4" s="104" t="s">
        <v>25</v>
      </c>
      <c r="N4" s="57">
        <v>2</v>
      </c>
      <c r="P4" s="50">
        <v>1</v>
      </c>
      <c r="Q4" s="104" t="s">
        <v>26</v>
      </c>
      <c r="R4" s="57">
        <v>0</v>
      </c>
    </row>
    <row r="5" spans="2:18" x14ac:dyDescent="0.3">
      <c r="B5" s="85" t="str">
        <f>'FASE OFENSIVA'!A6</f>
        <v>RAFINHA</v>
      </c>
      <c r="C5" s="54">
        <f>Pontos!F6</f>
        <v>0</v>
      </c>
      <c r="D5" s="54">
        <f>Pontos!G6</f>
        <v>0</v>
      </c>
      <c r="E5" s="54">
        <f>Pontos!H6</f>
        <v>0</v>
      </c>
      <c r="F5" s="57">
        <f t="shared" ref="F5:F19" si="1">SUM(C5:E5)</f>
        <v>0</v>
      </c>
      <c r="H5" s="50">
        <v>2</v>
      </c>
      <c r="I5" s="104" t="s">
        <v>26</v>
      </c>
      <c r="J5" s="57">
        <v>0</v>
      </c>
      <c r="L5" s="50">
        <v>2</v>
      </c>
      <c r="M5" s="104" t="s">
        <v>26</v>
      </c>
      <c r="N5" s="57">
        <v>0</v>
      </c>
      <c r="P5" s="50">
        <v>1</v>
      </c>
      <c r="Q5" s="104" t="s">
        <v>24</v>
      </c>
      <c r="R5" s="57">
        <v>0</v>
      </c>
    </row>
    <row r="6" spans="2:18" x14ac:dyDescent="0.3">
      <c r="B6" s="85" t="str">
        <f>'FASE OFENSIVA'!A7</f>
        <v>TARIQ</v>
      </c>
      <c r="C6" s="54">
        <f>Pontos!F7</f>
        <v>0</v>
      </c>
      <c r="D6" s="54">
        <f>Pontos!G7</f>
        <v>0</v>
      </c>
      <c r="E6" s="54">
        <f>Pontos!H7</f>
        <v>0</v>
      </c>
      <c r="F6" s="57">
        <f t="shared" si="1"/>
        <v>0</v>
      </c>
      <c r="H6" s="50">
        <v>2</v>
      </c>
      <c r="I6" s="104" t="s">
        <v>24</v>
      </c>
      <c r="J6" s="57">
        <v>0</v>
      </c>
      <c r="L6" s="50">
        <v>2</v>
      </c>
      <c r="M6" s="104" t="s">
        <v>24</v>
      </c>
      <c r="N6" s="57">
        <v>0</v>
      </c>
      <c r="P6" s="50">
        <v>1</v>
      </c>
      <c r="Q6" s="104" t="s">
        <v>27</v>
      </c>
      <c r="R6" s="57">
        <v>0</v>
      </c>
    </row>
    <row r="7" spans="2:18" x14ac:dyDescent="0.3">
      <c r="B7" s="85" t="str">
        <f>'FASE OFENSIVA'!A8</f>
        <v>TETEU</v>
      </c>
      <c r="C7" s="54">
        <f>Pontos!F8</f>
        <v>0</v>
      </c>
      <c r="D7" s="54">
        <f>Pontos!G8</f>
        <v>0</v>
      </c>
      <c r="E7" s="54">
        <f>Pontos!H8</f>
        <v>0</v>
      </c>
      <c r="F7" s="57">
        <f t="shared" si="1"/>
        <v>0</v>
      </c>
      <c r="H7" s="50">
        <v>2</v>
      </c>
      <c r="I7" s="104" t="s">
        <v>27</v>
      </c>
      <c r="J7" s="57">
        <v>0</v>
      </c>
      <c r="L7" s="50">
        <v>2</v>
      </c>
      <c r="M7" s="104" t="s">
        <v>27</v>
      </c>
      <c r="N7" s="57">
        <v>0</v>
      </c>
      <c r="P7" s="50">
        <v>1</v>
      </c>
      <c r="Q7" s="104" t="s">
        <v>31</v>
      </c>
      <c r="R7" s="57">
        <v>0</v>
      </c>
    </row>
    <row r="8" spans="2:18" x14ac:dyDescent="0.3">
      <c r="B8" s="85" t="str">
        <f>'FASE OFENSIVA'!A9</f>
        <v>LORENZO</v>
      </c>
      <c r="C8" s="54">
        <f>Pontos!F9</f>
        <v>0</v>
      </c>
      <c r="D8" s="54">
        <f>Pontos!G9</f>
        <v>0</v>
      </c>
      <c r="E8" s="54">
        <f>Pontos!H9</f>
        <v>0</v>
      </c>
      <c r="F8" s="57">
        <f t="shared" si="1"/>
        <v>0</v>
      </c>
      <c r="H8" s="50">
        <v>2</v>
      </c>
      <c r="I8" s="85" t="s">
        <v>31</v>
      </c>
      <c r="J8" s="57">
        <v>0</v>
      </c>
      <c r="L8" s="50">
        <v>2</v>
      </c>
      <c r="M8" s="85" t="s">
        <v>31</v>
      </c>
      <c r="N8" s="57">
        <v>0</v>
      </c>
      <c r="P8" s="50">
        <v>1</v>
      </c>
      <c r="Q8" s="85" t="s">
        <v>29</v>
      </c>
      <c r="R8" s="57">
        <v>0</v>
      </c>
    </row>
    <row r="9" spans="2:18" x14ac:dyDescent="0.3">
      <c r="B9" s="85" t="str">
        <f>'FASE OFENSIVA'!A10</f>
        <v>PEPO</v>
      </c>
      <c r="C9" s="54">
        <f>Pontos!F10</f>
        <v>0</v>
      </c>
      <c r="D9" s="54">
        <f>Pontos!G10</f>
        <v>0</v>
      </c>
      <c r="E9" s="54">
        <f>Pontos!H10</f>
        <v>0</v>
      </c>
      <c r="F9" s="57">
        <f t="shared" si="1"/>
        <v>0</v>
      </c>
      <c r="H9" s="50">
        <v>2</v>
      </c>
      <c r="I9" s="85" t="s">
        <v>29</v>
      </c>
      <c r="J9" s="57">
        <v>0</v>
      </c>
      <c r="L9" s="50">
        <v>2</v>
      </c>
      <c r="M9" s="85" t="s">
        <v>29</v>
      </c>
      <c r="N9" s="57">
        <v>0</v>
      </c>
      <c r="P9" s="50">
        <v>1</v>
      </c>
      <c r="Q9" s="85" t="s">
        <v>28</v>
      </c>
      <c r="R9" s="57">
        <v>0</v>
      </c>
    </row>
    <row r="10" spans="2:18" x14ac:dyDescent="0.3">
      <c r="B10" s="85" t="str">
        <f>'FASE OFENSIVA'!A11</f>
        <v>ROGÉRIO</v>
      </c>
      <c r="C10" s="54">
        <f>Pontos!F11</f>
        <v>0</v>
      </c>
      <c r="D10" s="54">
        <f>Pontos!G11</f>
        <v>0</v>
      </c>
      <c r="E10" s="54">
        <f>Pontos!H11</f>
        <v>0</v>
      </c>
      <c r="F10" s="57">
        <f t="shared" si="1"/>
        <v>0</v>
      </c>
      <c r="H10" s="50">
        <v>2</v>
      </c>
      <c r="I10" s="85" t="s">
        <v>28</v>
      </c>
      <c r="J10" s="57">
        <v>0</v>
      </c>
      <c r="L10" s="50">
        <v>2</v>
      </c>
      <c r="M10" s="85" t="s">
        <v>28</v>
      </c>
      <c r="N10" s="57">
        <v>0</v>
      </c>
      <c r="P10" s="50">
        <v>1</v>
      </c>
      <c r="Q10" s="85" t="s">
        <v>164</v>
      </c>
      <c r="R10" s="57">
        <v>0</v>
      </c>
    </row>
    <row r="11" spans="2:18" x14ac:dyDescent="0.3">
      <c r="B11" s="85" t="str">
        <f>'FASE OFENSIVA'!A12</f>
        <v>LUCAS SENNA</v>
      </c>
      <c r="C11" s="54">
        <f>Pontos!F12</f>
        <v>0</v>
      </c>
      <c r="D11" s="54">
        <f>Pontos!G12</f>
        <v>0</v>
      </c>
      <c r="E11" s="54">
        <f>Pontos!H12</f>
        <v>0</v>
      </c>
      <c r="F11" s="57">
        <f t="shared" si="1"/>
        <v>0</v>
      </c>
      <c r="H11" s="50">
        <v>2</v>
      </c>
      <c r="I11" s="85" t="s">
        <v>164</v>
      </c>
      <c r="J11" s="57">
        <v>0</v>
      </c>
      <c r="L11" s="50">
        <v>2</v>
      </c>
      <c r="M11" s="85" t="s">
        <v>164</v>
      </c>
      <c r="N11" s="57">
        <v>0</v>
      </c>
      <c r="P11" s="50">
        <v>1</v>
      </c>
      <c r="Q11" s="85" t="s">
        <v>33</v>
      </c>
      <c r="R11" s="57">
        <v>0</v>
      </c>
    </row>
    <row r="12" spans="2:18" x14ac:dyDescent="0.3">
      <c r="B12" s="85" t="str">
        <f>'FASE OFENSIVA'!A13</f>
        <v>GARCIA</v>
      </c>
      <c r="C12" s="54">
        <f>Pontos!F13</f>
        <v>0</v>
      </c>
      <c r="D12" s="54">
        <f>Pontos!G13</f>
        <v>0</v>
      </c>
      <c r="E12" s="54">
        <f>Pontos!H13</f>
        <v>0</v>
      </c>
      <c r="F12" s="57">
        <f t="shared" si="1"/>
        <v>0</v>
      </c>
      <c r="H12" s="50">
        <v>2</v>
      </c>
      <c r="I12" s="85" t="s">
        <v>33</v>
      </c>
      <c r="J12" s="57">
        <v>0</v>
      </c>
      <c r="L12" s="50">
        <v>2</v>
      </c>
      <c r="M12" s="85" t="s">
        <v>33</v>
      </c>
      <c r="N12" s="57">
        <v>0</v>
      </c>
      <c r="P12" s="50">
        <v>1</v>
      </c>
      <c r="Q12" s="85" t="s">
        <v>162</v>
      </c>
      <c r="R12" s="57">
        <v>0</v>
      </c>
    </row>
    <row r="13" spans="2:18" x14ac:dyDescent="0.3">
      <c r="B13" s="85" t="str">
        <f>'FASE OFENSIVA'!A14</f>
        <v>FOGO</v>
      </c>
      <c r="C13" s="54">
        <f>Pontos!F14</f>
        <v>0</v>
      </c>
      <c r="D13" s="54">
        <f>Pontos!G14</f>
        <v>0</v>
      </c>
      <c r="E13" s="54">
        <f>Pontos!H14</f>
        <v>0</v>
      </c>
      <c r="F13" s="57">
        <f t="shared" si="1"/>
        <v>0</v>
      </c>
      <c r="H13" s="50">
        <v>2</v>
      </c>
      <c r="I13" s="85" t="s">
        <v>162</v>
      </c>
      <c r="J13" s="57">
        <v>0</v>
      </c>
      <c r="L13" s="50">
        <v>2</v>
      </c>
      <c r="M13" s="85" t="s">
        <v>162</v>
      </c>
      <c r="N13" s="57">
        <v>0</v>
      </c>
      <c r="P13" s="50">
        <v>1</v>
      </c>
      <c r="Q13" s="85" t="s">
        <v>32</v>
      </c>
      <c r="R13" s="57">
        <v>0</v>
      </c>
    </row>
    <row r="14" spans="2:18" x14ac:dyDescent="0.3">
      <c r="B14" s="85" t="str">
        <f>'FASE OFENSIVA'!A15</f>
        <v>TITO</v>
      </c>
      <c r="C14" s="54">
        <f>Pontos!F15</f>
        <v>0</v>
      </c>
      <c r="D14" s="54">
        <f>Pontos!G15</f>
        <v>0</v>
      </c>
      <c r="E14" s="54">
        <f>Pontos!H15</f>
        <v>0</v>
      </c>
      <c r="F14" s="57">
        <f t="shared" si="1"/>
        <v>0</v>
      </c>
      <c r="H14" s="50">
        <v>2</v>
      </c>
      <c r="I14" s="85" t="s">
        <v>32</v>
      </c>
      <c r="J14" s="57">
        <v>0</v>
      </c>
      <c r="L14" s="50">
        <v>2</v>
      </c>
      <c r="M14" s="85" t="s">
        <v>32</v>
      </c>
      <c r="N14" s="57">
        <v>0</v>
      </c>
      <c r="P14" s="50">
        <v>1</v>
      </c>
      <c r="Q14" s="85" t="s">
        <v>34</v>
      </c>
      <c r="R14" s="57">
        <v>0</v>
      </c>
    </row>
    <row r="15" spans="2:18" x14ac:dyDescent="0.3">
      <c r="B15" s="85" t="str">
        <f>'FASE OFENSIVA'!A16</f>
        <v>PIETRO</v>
      </c>
      <c r="C15" s="54">
        <f>Pontos!F16</f>
        <v>0</v>
      </c>
      <c r="D15" s="54">
        <f>Pontos!G16</f>
        <v>0</v>
      </c>
      <c r="E15" s="54">
        <f>Pontos!H16</f>
        <v>0</v>
      </c>
      <c r="F15" s="57">
        <f t="shared" si="1"/>
        <v>0</v>
      </c>
      <c r="H15" s="50">
        <v>2</v>
      </c>
      <c r="I15" s="85" t="s">
        <v>34</v>
      </c>
      <c r="J15" s="57">
        <v>0</v>
      </c>
      <c r="L15" s="50">
        <v>2</v>
      </c>
      <c r="M15" s="85" t="s">
        <v>34</v>
      </c>
      <c r="N15" s="57">
        <v>0</v>
      </c>
      <c r="P15" s="50">
        <v>1</v>
      </c>
      <c r="Q15" s="85" t="s">
        <v>36</v>
      </c>
      <c r="R15" s="57">
        <v>0</v>
      </c>
    </row>
    <row r="16" spans="2:18" x14ac:dyDescent="0.3">
      <c r="B16" s="85" t="str">
        <f>'FASE OFENSIVA'!A17</f>
        <v>ALYSSON</v>
      </c>
      <c r="C16" s="54">
        <f>Pontos!F17</f>
        <v>0</v>
      </c>
      <c r="D16" s="54">
        <f>Pontos!G17</f>
        <v>0</v>
      </c>
      <c r="E16" s="54">
        <f>Pontos!H17</f>
        <v>0</v>
      </c>
      <c r="F16" s="57">
        <f t="shared" si="1"/>
        <v>0</v>
      </c>
      <c r="H16" s="50">
        <v>2</v>
      </c>
      <c r="I16" s="85" t="s">
        <v>36</v>
      </c>
      <c r="J16" s="57">
        <v>0</v>
      </c>
      <c r="L16" s="50">
        <v>2</v>
      </c>
      <c r="M16" s="85" t="s">
        <v>36</v>
      </c>
      <c r="N16" s="57">
        <v>0</v>
      </c>
      <c r="P16" s="50">
        <v>1</v>
      </c>
      <c r="Q16" s="85" t="s">
        <v>37</v>
      </c>
      <c r="R16" s="57">
        <v>0</v>
      </c>
    </row>
    <row r="17" spans="1:18" x14ac:dyDescent="0.3">
      <c r="B17" s="85" t="str">
        <f>'FASE OFENSIVA'!A18</f>
        <v>LÉO ELIAS</v>
      </c>
      <c r="C17" s="54">
        <f>Pontos!F18</f>
        <v>0</v>
      </c>
      <c r="D17" s="54">
        <f>Pontos!G18</f>
        <v>0</v>
      </c>
      <c r="E17" s="54">
        <f>Pontos!H18</f>
        <v>0</v>
      </c>
      <c r="F17" s="57">
        <f t="shared" si="1"/>
        <v>0</v>
      </c>
      <c r="H17" s="50">
        <v>2</v>
      </c>
      <c r="I17" s="85" t="s">
        <v>37</v>
      </c>
      <c r="J17" s="57">
        <v>0</v>
      </c>
      <c r="L17" s="50">
        <v>2</v>
      </c>
      <c r="M17" s="85" t="s">
        <v>37</v>
      </c>
      <c r="N17" s="57">
        <v>0</v>
      </c>
      <c r="P17" s="50">
        <v>1</v>
      </c>
      <c r="Q17" s="85" t="s">
        <v>163</v>
      </c>
      <c r="R17" s="57">
        <v>0</v>
      </c>
    </row>
    <row r="18" spans="1:18" x14ac:dyDescent="0.3">
      <c r="B18" s="85" t="str">
        <f>'FASE OFENSIVA'!A19</f>
        <v>LÉO RUDEK</v>
      </c>
      <c r="C18" s="54">
        <f>Pontos!F19</f>
        <v>0</v>
      </c>
      <c r="D18" s="54">
        <f>Pontos!G19</f>
        <v>0</v>
      </c>
      <c r="E18" s="54">
        <f>Pontos!H19</f>
        <v>0</v>
      </c>
      <c r="F18" s="57">
        <f t="shared" si="1"/>
        <v>0</v>
      </c>
      <c r="H18" s="50">
        <v>2</v>
      </c>
      <c r="I18" s="85" t="s">
        <v>163</v>
      </c>
      <c r="J18" s="57">
        <v>0</v>
      </c>
      <c r="L18" s="50">
        <v>2</v>
      </c>
      <c r="M18" s="85" t="s">
        <v>163</v>
      </c>
      <c r="N18" s="57">
        <v>0</v>
      </c>
      <c r="P18" s="50">
        <v>1</v>
      </c>
      <c r="Q18" s="85" t="s">
        <v>161</v>
      </c>
      <c r="R18" s="57">
        <v>0</v>
      </c>
    </row>
    <row r="19" spans="1:18" x14ac:dyDescent="0.3">
      <c r="B19" s="85" t="str">
        <f>'FASE OFENSIVA'!A20</f>
        <v>BAISCH</v>
      </c>
      <c r="C19" s="54">
        <f>Pontos!F20</f>
        <v>0</v>
      </c>
      <c r="D19" s="54">
        <f>Pontos!G20</f>
        <v>0</v>
      </c>
      <c r="E19" s="54">
        <f>Pontos!H20</f>
        <v>0</v>
      </c>
      <c r="F19" s="57">
        <f t="shared" si="1"/>
        <v>0</v>
      </c>
      <c r="H19" s="50">
        <v>2</v>
      </c>
      <c r="I19" s="85" t="s">
        <v>161</v>
      </c>
      <c r="J19" s="57">
        <v>0</v>
      </c>
      <c r="L19" s="50">
        <v>2</v>
      </c>
      <c r="M19" s="85" t="s">
        <v>161</v>
      </c>
      <c r="N19" s="57">
        <v>0</v>
      </c>
      <c r="P19" s="50">
        <v>2</v>
      </c>
      <c r="Q19" s="85" t="s">
        <v>25</v>
      </c>
      <c r="R19" s="57">
        <v>-5</v>
      </c>
    </row>
    <row r="21" spans="1:18" x14ac:dyDescent="0.3">
      <c r="A21" s="46"/>
      <c r="B21" s="46"/>
      <c r="C21" s="46"/>
    </row>
    <row r="22" spans="1:18" x14ac:dyDescent="0.3">
      <c r="A22" s="46"/>
      <c r="B22" s="46"/>
      <c r="C22" s="46"/>
    </row>
    <row r="23" spans="1:18" x14ac:dyDescent="0.3">
      <c r="A23" s="46"/>
      <c r="B23" s="46"/>
      <c r="C23" s="46"/>
    </row>
    <row r="24" spans="1:18" x14ac:dyDescent="0.3">
      <c r="A24" s="46"/>
      <c r="B24" s="46"/>
      <c r="C24" s="46"/>
    </row>
    <row r="25" spans="1:18" x14ac:dyDescent="0.3">
      <c r="A25" s="46"/>
      <c r="B25" s="46"/>
      <c r="C25" s="46"/>
    </row>
    <row r="26" spans="1:18" x14ac:dyDescent="0.3">
      <c r="A26" s="46"/>
      <c r="B26" s="46"/>
      <c r="C26" s="46"/>
    </row>
    <row r="27" spans="1:18" x14ac:dyDescent="0.3">
      <c r="A27" s="46"/>
      <c r="B27" s="46"/>
      <c r="C27" s="46"/>
    </row>
    <row r="28" spans="1:18" x14ac:dyDescent="0.3">
      <c r="A28" s="46"/>
      <c r="B28" s="46"/>
      <c r="C28" s="46"/>
    </row>
    <row r="29" spans="1:18" x14ac:dyDescent="0.3">
      <c r="A29" s="46"/>
      <c r="B29" s="46"/>
      <c r="C29" s="46"/>
    </row>
    <row r="30" spans="1:18" x14ac:dyDescent="0.3">
      <c r="A30" s="46"/>
      <c r="B30" s="46"/>
      <c r="C30" s="46"/>
    </row>
    <row r="31" spans="1:18" x14ac:dyDescent="0.3">
      <c r="A31" s="46"/>
      <c r="B31" s="46"/>
      <c r="C31" s="46"/>
    </row>
    <row r="32" spans="1:18" x14ac:dyDescent="0.3">
      <c r="A32" s="46"/>
      <c r="B32" s="46"/>
      <c r="C32" s="46"/>
    </row>
    <row r="33" spans="1:3" x14ac:dyDescent="0.3">
      <c r="A33" s="46"/>
      <c r="B33" s="46"/>
      <c r="C33" s="46"/>
    </row>
    <row r="34" spans="1:3" x14ac:dyDescent="0.3">
      <c r="A34" s="46"/>
      <c r="B34" s="46"/>
      <c r="C34" s="46"/>
    </row>
    <row r="35" spans="1:3" x14ac:dyDescent="0.3">
      <c r="A35" s="46"/>
      <c r="B35" s="46"/>
      <c r="C35" s="46"/>
    </row>
    <row r="36" spans="1:3" x14ac:dyDescent="0.3">
      <c r="A36" s="46"/>
      <c r="B36" s="46"/>
      <c r="C36" s="46"/>
    </row>
    <row r="37" spans="1:3" x14ac:dyDescent="0.3">
      <c r="A37" s="46"/>
      <c r="B37" s="46"/>
      <c r="C37" s="46"/>
    </row>
    <row r="38" spans="1:3" x14ac:dyDescent="0.3">
      <c r="A38" s="46"/>
      <c r="B38" s="46"/>
      <c r="C38" s="46"/>
    </row>
    <row r="39" spans="1:3" x14ac:dyDescent="0.3">
      <c r="A39" s="46"/>
      <c r="B39" s="46"/>
      <c r="C39" s="46"/>
    </row>
    <row r="40" spans="1:3" x14ac:dyDescent="0.3">
      <c r="A40" s="46"/>
      <c r="B40" s="46"/>
      <c r="C40" s="46"/>
    </row>
    <row r="41" spans="1:3" x14ac:dyDescent="0.3">
      <c r="A41" s="46"/>
      <c r="B41" s="46"/>
      <c r="C41" s="46"/>
    </row>
    <row r="42" spans="1:3" x14ac:dyDescent="0.3">
      <c r="A42" s="46"/>
      <c r="B42" s="46"/>
      <c r="C42" s="46"/>
    </row>
    <row r="43" spans="1:3" x14ac:dyDescent="0.3">
      <c r="A43" s="46"/>
      <c r="B43" s="46"/>
      <c r="C43" s="46"/>
    </row>
    <row r="44" spans="1:3" x14ac:dyDescent="0.3">
      <c r="A44" s="46"/>
      <c r="B44" s="46"/>
      <c r="C44" s="46"/>
    </row>
    <row r="45" spans="1:3" x14ac:dyDescent="0.3">
      <c r="A45" s="46"/>
      <c r="B45" s="46"/>
      <c r="C45" s="46"/>
    </row>
    <row r="46" spans="1:3" x14ac:dyDescent="0.3">
      <c r="A46" s="46"/>
      <c r="B46" s="46"/>
      <c r="C46" s="46"/>
    </row>
    <row r="47" spans="1:3" x14ac:dyDescent="0.3">
      <c r="A47" s="46"/>
      <c r="B47" s="46"/>
      <c r="C47" s="46"/>
    </row>
    <row r="48" spans="1:3" x14ac:dyDescent="0.3">
      <c r="A48" s="46"/>
      <c r="B48" s="46"/>
      <c r="C48" s="46"/>
    </row>
    <row r="49" spans="1:3" x14ac:dyDescent="0.3">
      <c r="A49" s="46"/>
      <c r="B49" s="46"/>
      <c r="C49" s="46"/>
    </row>
    <row r="50" spans="1:3" x14ac:dyDescent="0.3">
      <c r="A50" s="46"/>
      <c r="B50" s="46"/>
      <c r="C50" s="46"/>
    </row>
    <row r="51" spans="1:3" x14ac:dyDescent="0.3">
      <c r="A51" s="46"/>
      <c r="B51" s="46"/>
      <c r="C51" s="46"/>
    </row>
    <row r="52" spans="1:3" x14ac:dyDescent="0.3">
      <c r="A52" s="46"/>
      <c r="B52" s="46"/>
      <c r="C52" s="46"/>
    </row>
    <row r="53" spans="1:3" x14ac:dyDescent="0.3">
      <c r="A53" s="46"/>
      <c r="B53" s="46"/>
      <c r="C53" s="46"/>
    </row>
    <row r="54" spans="1:3" x14ac:dyDescent="0.3">
      <c r="A54" s="46"/>
      <c r="B54" s="46"/>
      <c r="C54" s="46"/>
    </row>
    <row r="55" spans="1:3" x14ac:dyDescent="0.3">
      <c r="A55" s="46"/>
      <c r="B55" s="46"/>
      <c r="C55" s="46"/>
    </row>
    <row r="56" spans="1:3" x14ac:dyDescent="0.3">
      <c r="A56" s="46"/>
      <c r="B56" s="46"/>
      <c r="C56" s="46"/>
    </row>
    <row r="57" spans="1:3" x14ac:dyDescent="0.3">
      <c r="A57" s="46"/>
      <c r="B57" s="46"/>
      <c r="C57" s="46"/>
    </row>
    <row r="58" spans="1:3" x14ac:dyDescent="0.3">
      <c r="A58" s="46"/>
      <c r="B58" s="46"/>
      <c r="C58" s="46"/>
    </row>
    <row r="59" spans="1:3" x14ac:dyDescent="0.3">
      <c r="A59" s="46"/>
      <c r="B59" s="46"/>
      <c r="C59" s="46"/>
    </row>
    <row r="60" spans="1:3" x14ac:dyDescent="0.3">
      <c r="A60" s="46"/>
      <c r="B60" s="46"/>
      <c r="C60" s="46"/>
    </row>
    <row r="61" spans="1:3" x14ac:dyDescent="0.3">
      <c r="A61" s="46"/>
      <c r="B61" s="46"/>
      <c r="C61" s="46"/>
    </row>
    <row r="62" spans="1:3" x14ac:dyDescent="0.3">
      <c r="A62" s="46"/>
      <c r="B62" s="46"/>
      <c r="C62" s="46"/>
    </row>
    <row r="63" spans="1:3" x14ac:dyDescent="0.3">
      <c r="A63" s="46"/>
      <c r="B63" s="46"/>
      <c r="C63" s="46"/>
    </row>
    <row r="64" spans="1:3" x14ac:dyDescent="0.3">
      <c r="A64" s="46"/>
      <c r="B64" s="46"/>
      <c r="C64" s="46"/>
    </row>
    <row r="65" spans="1:3" x14ac:dyDescent="0.3">
      <c r="A65" s="46"/>
      <c r="B65" s="46"/>
      <c r="C65" s="46"/>
    </row>
    <row r="66" spans="1:3" x14ac:dyDescent="0.3">
      <c r="A66" s="46"/>
      <c r="B66" s="46"/>
      <c r="C66" s="46"/>
    </row>
    <row r="67" spans="1:3" x14ac:dyDescent="0.3">
      <c r="A67" s="46"/>
      <c r="B67" s="46"/>
      <c r="C67" s="46"/>
    </row>
    <row r="68" spans="1:3" x14ac:dyDescent="0.3">
      <c r="A68" s="46"/>
      <c r="B68" s="46"/>
      <c r="C68" s="46"/>
    </row>
    <row r="69" spans="1:3" x14ac:dyDescent="0.3">
      <c r="A69" s="46"/>
      <c r="B69" s="46"/>
      <c r="C69" s="46"/>
    </row>
    <row r="70" spans="1:3" x14ac:dyDescent="0.3">
      <c r="A70" s="46"/>
      <c r="B70" s="46"/>
      <c r="C70" s="46"/>
    </row>
    <row r="71" spans="1:3" x14ac:dyDescent="0.3">
      <c r="A71" s="46"/>
      <c r="B71" s="46"/>
      <c r="C71" s="46"/>
    </row>
    <row r="72" spans="1:3" x14ac:dyDescent="0.3">
      <c r="A72" s="46"/>
      <c r="B72" s="46"/>
      <c r="C72" s="46"/>
    </row>
    <row r="73" spans="1:3" x14ac:dyDescent="0.3">
      <c r="A73" s="46"/>
      <c r="B73" s="46"/>
      <c r="C73" s="46"/>
    </row>
    <row r="74" spans="1:3" x14ac:dyDescent="0.3">
      <c r="A74" s="46"/>
      <c r="B74" s="46"/>
      <c r="C74" s="46"/>
    </row>
  </sheetData>
  <sortState xmlns:xlrd2="http://schemas.microsoft.com/office/spreadsheetml/2017/richdata2" ref="Q4:R19">
    <sortCondition descending="1" ref="R4:R19"/>
  </sortState>
  <mergeCells count="7">
    <mergeCell ref="H1:J1"/>
    <mergeCell ref="L1:N1"/>
    <mergeCell ref="P1:R1"/>
    <mergeCell ref="C2:F2"/>
    <mergeCell ref="H2:J2"/>
    <mergeCell ref="L2:N2"/>
    <mergeCell ref="P2:R2"/>
  </mergeCells>
  <conditionalFormatting sqref="C4:C19">
    <cfRule type="colorScale" priority="6">
      <colorScale>
        <cfvo type="min"/>
        <cfvo type="max"/>
        <color theme="5" tint="0.39997558519241921"/>
        <color theme="5" tint="-0.499984740745262"/>
      </colorScale>
    </cfRule>
  </conditionalFormatting>
  <conditionalFormatting sqref="C4:E19">
    <cfRule type="dataBar" priority="1">
      <dataBar>
        <cfvo type="min"/>
        <cfvo type="num" val="50"/>
        <color theme="5" tint="0.39997558519241921"/>
      </dataBar>
      <extLst>
        <ext xmlns:x14="http://schemas.microsoft.com/office/spreadsheetml/2009/9/main" uri="{B025F937-C7B1-47D3-B67F-A62EFF666E3E}">
          <x14:id>{FAA88305-FB94-49DA-9684-313D2276E4B4}</x14:id>
        </ext>
      </extLst>
    </cfRule>
    <cfRule type="dataBar" priority="2">
      <dataBar>
        <cfvo type="min"/>
        <cfvo type="num" val="50"/>
        <color rgb="FF638EC6"/>
      </dataBar>
      <extLst>
        <ext xmlns:x14="http://schemas.microsoft.com/office/spreadsheetml/2009/9/main" uri="{B025F937-C7B1-47D3-B67F-A62EFF666E3E}">
          <x14:id>{6927EC05-DF56-4571-BE35-A748EEFF4DE8}</x14:id>
        </ext>
      </extLst>
    </cfRule>
    <cfRule type="dataBar" priority="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{3715F4B4-BAF7-4EED-AB0E-29D65E4AD7A4}</x14:id>
        </ext>
      </extLst>
    </cfRule>
  </conditionalFormatting>
  <conditionalFormatting sqref="D4:D19">
    <cfRule type="colorScale" priority="5">
      <colorScale>
        <cfvo type="min"/>
        <cfvo type="max"/>
        <color theme="5" tint="0.39997558519241921"/>
        <color theme="5" tint="-0.499984740745262"/>
      </colorScale>
    </cfRule>
  </conditionalFormatting>
  <conditionalFormatting sqref="E4:E19">
    <cfRule type="colorScale" priority="4">
      <colorScale>
        <cfvo type="min"/>
        <cfvo type="max"/>
        <color theme="5" tint="0.39997558519241921"/>
        <color theme="5" tint="-0.499984740745262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AA88305-FB94-49DA-9684-313D2276E4B4}">
            <x14:dataBar minLength="0" maxLength="100" border="1" gradient="0">
              <x14:cfvo type="min"/>
              <x14:cfvo type="num">
                <xm:f>50</xm:f>
              </x14:cfvo>
              <x14:borderColor theme="0"/>
              <x14:negativeFillColor rgb="FFFF0000"/>
              <x14:axisColor rgb="FF000000"/>
            </x14:dataBar>
          </x14:cfRule>
          <x14:cfRule type="dataBar" id="{6927EC05-DF56-4571-BE35-A748EEFF4DE8}">
            <x14:dataBar minLength="0" maxLength="100" gradient="0">
              <x14:cfvo type="min"/>
              <x14:cfvo type="num">
                <xm:f>50</xm:f>
              </x14:cfvo>
              <x14:negativeFillColor rgb="FFFF0000"/>
              <x14:axisColor rgb="FF000000"/>
            </x14:dataBar>
          </x14:cfRule>
          <x14:cfRule type="dataBar" id="{3715F4B4-BAF7-4EED-AB0E-29D65E4AD7A4}">
            <x14:dataBar minLength="0" maxLength="100" border="1" gradient="0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C4:E19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E06FE-D067-4D4B-80FF-8E4DB1EB13FF}">
  <sheetPr codeName="Planilha6"/>
  <dimension ref="A1:U62"/>
  <sheetViews>
    <sheetView topLeftCell="A51" zoomScale="120" zoomScaleNormal="120" workbookViewId="0">
      <selection activeCell="F20" sqref="F20"/>
    </sheetView>
  </sheetViews>
  <sheetFormatPr defaultRowHeight="14.4" x14ac:dyDescent="0.3"/>
  <cols>
    <col min="1" max="1" width="12.6640625" style="53" customWidth="1"/>
    <col min="2" max="8" width="9.6640625" style="46" customWidth="1"/>
    <col min="9" max="9" width="1.5546875" style="46" customWidth="1"/>
    <col min="10" max="10" width="12.6640625" style="53" customWidth="1"/>
    <col min="11" max="16" width="12.5546875" style="46" customWidth="1"/>
    <col min="17" max="17" width="2.44140625" style="46" customWidth="1"/>
    <col min="18" max="18" width="12.6640625" style="53" customWidth="1"/>
    <col min="19" max="19" width="13.33203125" style="46" customWidth="1"/>
    <col min="20" max="20" width="13.33203125" style="52" customWidth="1"/>
    <col min="21" max="21" width="13.33203125" style="46" customWidth="1"/>
    <col min="22" max="16384" width="8.88671875" style="46"/>
  </cols>
  <sheetData>
    <row r="1" spans="1:21" ht="15.6" x14ac:dyDescent="0.3">
      <c r="A1" s="81"/>
      <c r="B1" s="200" t="s">
        <v>131</v>
      </c>
      <c r="C1" s="201"/>
      <c r="D1" s="201"/>
      <c r="E1" s="201"/>
      <c r="F1" s="201"/>
      <c r="G1" s="201"/>
      <c r="H1" s="202"/>
      <c r="J1" s="81"/>
      <c r="K1" s="203" t="s">
        <v>135</v>
      </c>
      <c r="L1" s="204"/>
      <c r="M1" s="204"/>
      <c r="N1" s="204"/>
      <c r="O1" s="204"/>
      <c r="P1" s="205"/>
      <c r="R1" s="81"/>
      <c r="S1" s="199" t="s">
        <v>22</v>
      </c>
      <c r="T1" s="199"/>
      <c r="U1" s="199"/>
    </row>
    <row r="2" spans="1:21" x14ac:dyDescent="0.3">
      <c r="A2" s="82"/>
      <c r="B2" s="194" t="s">
        <v>139</v>
      </c>
      <c r="C2" s="195"/>
      <c r="D2" s="196"/>
      <c r="E2" s="194" t="s">
        <v>140</v>
      </c>
      <c r="F2" s="196"/>
      <c r="G2" s="87" t="s">
        <v>133</v>
      </c>
      <c r="H2" s="87" t="s">
        <v>133</v>
      </c>
      <c r="J2" s="82"/>
      <c r="K2" s="197" t="s">
        <v>139</v>
      </c>
      <c r="L2" s="198"/>
      <c r="M2" s="197" t="s">
        <v>140</v>
      </c>
      <c r="N2" s="198"/>
      <c r="O2" s="83" t="s">
        <v>133</v>
      </c>
      <c r="P2" s="83" t="s">
        <v>133</v>
      </c>
      <c r="R2" s="82"/>
      <c r="S2" s="89"/>
      <c r="T2" s="90"/>
      <c r="U2" s="89"/>
    </row>
    <row r="3" spans="1:21" x14ac:dyDescent="0.3">
      <c r="A3" s="64" t="s">
        <v>2</v>
      </c>
      <c r="B3" s="88" t="s">
        <v>0</v>
      </c>
      <c r="C3" s="88" t="s">
        <v>132</v>
      </c>
      <c r="D3" s="88" t="s">
        <v>7</v>
      </c>
      <c r="E3" s="88" t="s">
        <v>115</v>
      </c>
      <c r="F3" s="88" t="s">
        <v>116</v>
      </c>
      <c r="G3" s="88" t="s">
        <v>134</v>
      </c>
      <c r="H3" s="88" t="s">
        <v>123</v>
      </c>
      <c r="J3" s="64" t="s">
        <v>2</v>
      </c>
      <c r="K3" s="84" t="s">
        <v>18</v>
      </c>
      <c r="L3" s="84" t="s">
        <v>136</v>
      </c>
      <c r="M3" s="84" t="s">
        <v>137</v>
      </c>
      <c r="N3" s="84" t="s">
        <v>138</v>
      </c>
      <c r="O3" s="84" t="s">
        <v>134</v>
      </c>
      <c r="P3" s="84" t="s">
        <v>123</v>
      </c>
      <c r="R3" s="64" t="s">
        <v>2</v>
      </c>
      <c r="S3" s="89" t="s">
        <v>151</v>
      </c>
      <c r="T3" s="90" t="s">
        <v>22</v>
      </c>
      <c r="U3" s="89" t="s">
        <v>152</v>
      </c>
    </row>
    <row r="4" spans="1:21" x14ac:dyDescent="0.3">
      <c r="A4" s="85" t="str">
        <f>'FASE OFENSIVA'!A5</f>
        <v>MATEUS</v>
      </c>
      <c r="B4" s="95">
        <f>'FASE OFENSIVA'!AF5</f>
        <v>11</v>
      </c>
      <c r="C4" s="95">
        <f>'FASE OFENSIVA'!AG5</f>
        <v>11</v>
      </c>
      <c r="D4" s="95">
        <f>'FASE OFENSIVA'!AH5</f>
        <v>11</v>
      </c>
      <c r="E4" s="95">
        <f>'FASE OFENSIVA'!AI5</f>
        <v>11</v>
      </c>
      <c r="F4" s="95">
        <f>'FASE OFENSIVA'!AJ5</f>
        <v>11</v>
      </c>
      <c r="G4" s="95">
        <f>'FASE OFENSIVA'!AK5</f>
        <v>11</v>
      </c>
      <c r="H4" s="95">
        <f>'FASE OFENSIVA'!AL5</f>
        <v>11</v>
      </c>
      <c r="I4" s="91"/>
      <c r="J4" s="85" t="str">
        <f>'FASE OFENSIVA'!A5</f>
        <v>MATEUS</v>
      </c>
      <c r="K4" s="93">
        <f>'FASE DEFENSIVA'!AE5</f>
        <v>60</v>
      </c>
      <c r="L4" s="93">
        <f>'FASE DEFENSIVA'!AF5</f>
        <v>41</v>
      </c>
      <c r="M4" s="93">
        <f>'FASE DEFENSIVA'!AH5</f>
        <v>37.166666666666671</v>
      </c>
      <c r="N4" s="93">
        <f>'FASE DEFENSIVA'!AI5</f>
        <v>68</v>
      </c>
      <c r="O4" s="93">
        <f>'FASE DEFENSIVA'!AJ5</f>
        <v>26.666666666666664</v>
      </c>
      <c r="P4" s="93">
        <f>'FASE DEFENSIVA'!AK5</f>
        <v>57.142857142857146</v>
      </c>
      <c r="Q4" s="92"/>
      <c r="R4" s="85" t="s">
        <v>25</v>
      </c>
      <c r="S4" s="94">
        <f>'FASE DEFENSIVA'!AG5</f>
        <v>66.666666666666671</v>
      </c>
      <c r="T4" s="94">
        <f>(AVERAGE(B4:H4)+AVERAGE(K4:P4))/2</f>
        <v>29.664682539682541</v>
      </c>
      <c r="U4" s="94">
        <f>AVERAGE(E4:G4,M4:O4)</f>
        <v>27.472222222222225</v>
      </c>
    </row>
    <row r="5" spans="1:21" x14ac:dyDescent="0.3">
      <c r="A5" s="85" t="str">
        <f>'FASE OFENSIVA'!A6</f>
        <v>RAFINHA</v>
      </c>
      <c r="B5" s="95">
        <f>'FASE OFENSIVA'!AF6</f>
        <v>11</v>
      </c>
      <c r="C5" s="95">
        <f>'FASE OFENSIVA'!AG6</f>
        <v>11</v>
      </c>
      <c r="D5" s="95">
        <f>'FASE OFENSIVA'!AH6</f>
        <v>11</v>
      </c>
      <c r="E5" s="95">
        <f>'FASE OFENSIVA'!AI6</f>
        <v>11</v>
      </c>
      <c r="F5" s="95">
        <f>'FASE OFENSIVA'!AJ6</f>
        <v>11</v>
      </c>
      <c r="G5" s="95">
        <f>'FASE OFENSIVA'!AK6</f>
        <v>11</v>
      </c>
      <c r="H5" s="95">
        <f>'FASE OFENSIVA'!AL6</f>
        <v>11</v>
      </c>
      <c r="I5" s="91"/>
      <c r="J5" s="85" t="str">
        <f>'FASE OFENSIVA'!A6</f>
        <v>RAFINHA</v>
      </c>
      <c r="K5" s="93">
        <f>'FASE DEFENSIVA'!AE6</f>
        <v>11</v>
      </c>
      <c r="L5" s="93">
        <f>'FASE DEFENSIVA'!AF6</f>
        <v>11</v>
      </c>
      <c r="M5" s="93">
        <f>'FASE DEFENSIVA'!AH6</f>
        <v>11</v>
      </c>
      <c r="N5" s="93">
        <f>'FASE DEFENSIVA'!AI6</f>
        <v>11</v>
      </c>
      <c r="O5" s="93">
        <f>'FASE DEFENSIVA'!AJ6</f>
        <v>11</v>
      </c>
      <c r="P5" s="93">
        <f>'FASE DEFENSIVA'!AK6</f>
        <v>11</v>
      </c>
      <c r="Q5" s="92"/>
      <c r="R5" s="86" t="s">
        <v>26</v>
      </c>
      <c r="S5" s="94">
        <f>'FASE DEFENSIVA'!AG6</f>
        <v>11</v>
      </c>
      <c r="T5" s="94">
        <f t="shared" ref="T5:T19" si="0">(AVERAGE(B5:H5)+AVERAGE(K5:P5))/2</f>
        <v>11</v>
      </c>
      <c r="U5" s="94">
        <f t="shared" ref="U5:U19" si="1">AVERAGE(E5:G5,M5:O5)</f>
        <v>11</v>
      </c>
    </row>
    <row r="6" spans="1:21" x14ac:dyDescent="0.3">
      <c r="A6" s="85" t="str">
        <f>'FASE OFENSIVA'!A7</f>
        <v>TARIQ</v>
      </c>
      <c r="B6" s="95">
        <f>'FASE OFENSIVA'!AF7</f>
        <v>11</v>
      </c>
      <c r="C6" s="95">
        <f>'FASE OFENSIVA'!AG7</f>
        <v>11</v>
      </c>
      <c r="D6" s="95">
        <f>'FASE OFENSIVA'!AH7</f>
        <v>11</v>
      </c>
      <c r="E6" s="95">
        <f>'FASE OFENSIVA'!AI7</f>
        <v>11</v>
      </c>
      <c r="F6" s="95">
        <f>'FASE OFENSIVA'!AJ7</f>
        <v>11</v>
      </c>
      <c r="G6" s="95">
        <f>'FASE OFENSIVA'!AK7</f>
        <v>11</v>
      </c>
      <c r="H6" s="95">
        <f>'FASE OFENSIVA'!AL7</f>
        <v>11</v>
      </c>
      <c r="I6" s="91"/>
      <c r="J6" s="85" t="str">
        <f>'FASE OFENSIVA'!A7</f>
        <v>TARIQ</v>
      </c>
      <c r="K6" s="93">
        <f>'FASE DEFENSIVA'!AE7</f>
        <v>11</v>
      </c>
      <c r="L6" s="93">
        <f>'FASE DEFENSIVA'!AF7</f>
        <v>11</v>
      </c>
      <c r="M6" s="93">
        <f>'FASE DEFENSIVA'!AH7</f>
        <v>11</v>
      </c>
      <c r="N6" s="93">
        <f>'FASE DEFENSIVA'!AI7</f>
        <v>11</v>
      </c>
      <c r="O6" s="93">
        <f>'FASE DEFENSIVA'!AJ7</f>
        <v>11</v>
      </c>
      <c r="P6" s="93">
        <f>'FASE DEFENSIVA'!AK7</f>
        <v>11</v>
      </c>
      <c r="Q6" s="92"/>
      <c r="R6" s="86" t="s">
        <v>24</v>
      </c>
      <c r="S6" s="94">
        <f>'FASE DEFENSIVA'!AG7</f>
        <v>11</v>
      </c>
      <c r="T6" s="94">
        <f t="shared" si="0"/>
        <v>11</v>
      </c>
      <c r="U6" s="94">
        <f t="shared" si="1"/>
        <v>11</v>
      </c>
    </row>
    <row r="7" spans="1:21" x14ac:dyDescent="0.3">
      <c r="A7" s="85" t="str">
        <f>'FASE OFENSIVA'!A8</f>
        <v>TETEU</v>
      </c>
      <c r="B7" s="95">
        <f>'FASE OFENSIVA'!AF8</f>
        <v>11</v>
      </c>
      <c r="C7" s="95">
        <f>'FASE OFENSIVA'!AG8</f>
        <v>11</v>
      </c>
      <c r="D7" s="95">
        <f>'FASE OFENSIVA'!AH8</f>
        <v>11</v>
      </c>
      <c r="E7" s="95">
        <f>'FASE OFENSIVA'!AI8</f>
        <v>11</v>
      </c>
      <c r="F7" s="95">
        <f>'FASE OFENSIVA'!AJ8</f>
        <v>11</v>
      </c>
      <c r="G7" s="95">
        <f>'FASE OFENSIVA'!AK8</f>
        <v>11</v>
      </c>
      <c r="H7" s="95">
        <f>'FASE OFENSIVA'!AL8</f>
        <v>11</v>
      </c>
      <c r="I7" s="91"/>
      <c r="J7" s="85" t="str">
        <f>'FASE OFENSIVA'!A8</f>
        <v>TETEU</v>
      </c>
      <c r="K7" s="93">
        <f>'FASE DEFENSIVA'!AE8</f>
        <v>11</v>
      </c>
      <c r="L7" s="93">
        <f>'FASE DEFENSIVA'!AF8</f>
        <v>11</v>
      </c>
      <c r="M7" s="93">
        <f>'FASE DEFENSIVA'!AH8</f>
        <v>11</v>
      </c>
      <c r="N7" s="93">
        <f>'FASE DEFENSIVA'!AI8</f>
        <v>11</v>
      </c>
      <c r="O7" s="93">
        <f>'FASE DEFENSIVA'!AJ8</f>
        <v>11</v>
      </c>
      <c r="P7" s="93">
        <f>'FASE DEFENSIVA'!AK8</f>
        <v>11</v>
      </c>
      <c r="Q7" s="92"/>
      <c r="R7" s="86" t="s">
        <v>27</v>
      </c>
      <c r="S7" s="94">
        <f>'FASE DEFENSIVA'!AG8</f>
        <v>11</v>
      </c>
      <c r="T7" s="94">
        <f t="shared" si="0"/>
        <v>11</v>
      </c>
      <c r="U7" s="94">
        <f t="shared" si="1"/>
        <v>11</v>
      </c>
    </row>
    <row r="8" spans="1:21" x14ac:dyDescent="0.3">
      <c r="A8" s="85" t="str">
        <f>'FASE OFENSIVA'!A9</f>
        <v>LORENZO</v>
      </c>
      <c r="B8" s="95">
        <f>'FASE OFENSIVA'!AF9</f>
        <v>11</v>
      </c>
      <c r="C8" s="95">
        <f>'FASE OFENSIVA'!AG9</f>
        <v>11</v>
      </c>
      <c r="D8" s="95">
        <f>'FASE OFENSIVA'!AH9</f>
        <v>11</v>
      </c>
      <c r="E8" s="95">
        <f>'FASE OFENSIVA'!AI9</f>
        <v>11</v>
      </c>
      <c r="F8" s="95">
        <f>'FASE OFENSIVA'!AJ9</f>
        <v>11</v>
      </c>
      <c r="G8" s="95">
        <f>'FASE OFENSIVA'!AK9</f>
        <v>11</v>
      </c>
      <c r="H8" s="95">
        <f>'FASE OFENSIVA'!AL9</f>
        <v>11</v>
      </c>
      <c r="I8" s="91"/>
      <c r="J8" s="85" t="str">
        <f>'FASE OFENSIVA'!A9</f>
        <v>LORENZO</v>
      </c>
      <c r="K8" s="93">
        <f>'FASE DEFENSIVA'!AE9</f>
        <v>11</v>
      </c>
      <c r="L8" s="93">
        <f>'FASE DEFENSIVA'!AF9</f>
        <v>11</v>
      </c>
      <c r="M8" s="93">
        <f>'FASE DEFENSIVA'!AH9</f>
        <v>11</v>
      </c>
      <c r="N8" s="93">
        <f>'FASE DEFENSIVA'!AI9</f>
        <v>11</v>
      </c>
      <c r="O8" s="93">
        <f>'FASE DEFENSIVA'!AJ9</f>
        <v>11</v>
      </c>
      <c r="P8" s="93">
        <f>'FASE DEFENSIVA'!AK9</f>
        <v>11</v>
      </c>
      <c r="Q8" s="92"/>
      <c r="R8" s="85" t="s">
        <v>31</v>
      </c>
      <c r="S8" s="94">
        <f>'FASE DEFENSIVA'!AG9</f>
        <v>11</v>
      </c>
      <c r="T8" s="94">
        <f t="shared" si="0"/>
        <v>11</v>
      </c>
      <c r="U8" s="94">
        <f t="shared" si="1"/>
        <v>11</v>
      </c>
    </row>
    <row r="9" spans="1:21" x14ac:dyDescent="0.3">
      <c r="A9" s="85" t="str">
        <f>'FASE OFENSIVA'!A10</f>
        <v>PEPO</v>
      </c>
      <c r="B9" s="95">
        <f>'FASE OFENSIVA'!AF10</f>
        <v>11</v>
      </c>
      <c r="C9" s="95">
        <f>'FASE OFENSIVA'!AG10</f>
        <v>11</v>
      </c>
      <c r="D9" s="95">
        <f>'FASE OFENSIVA'!AH10</f>
        <v>11</v>
      </c>
      <c r="E9" s="95">
        <f>'FASE OFENSIVA'!AI10</f>
        <v>11</v>
      </c>
      <c r="F9" s="95">
        <f>'FASE OFENSIVA'!AJ10</f>
        <v>11</v>
      </c>
      <c r="G9" s="95">
        <f>'FASE OFENSIVA'!AK10</f>
        <v>11</v>
      </c>
      <c r="H9" s="95">
        <f>'FASE OFENSIVA'!AL10</f>
        <v>11</v>
      </c>
      <c r="I9" s="91"/>
      <c r="J9" s="85" t="str">
        <f>'FASE OFENSIVA'!A10</f>
        <v>PEPO</v>
      </c>
      <c r="K9" s="93">
        <f>'FASE DEFENSIVA'!AE10</f>
        <v>11</v>
      </c>
      <c r="L9" s="93">
        <f>'FASE DEFENSIVA'!AF10</f>
        <v>11</v>
      </c>
      <c r="M9" s="93">
        <f>'FASE DEFENSIVA'!AH10</f>
        <v>11</v>
      </c>
      <c r="N9" s="93">
        <f>'FASE DEFENSIVA'!AI10</f>
        <v>11</v>
      </c>
      <c r="O9" s="93">
        <f>'FASE DEFENSIVA'!AJ10</f>
        <v>11</v>
      </c>
      <c r="P9" s="93">
        <f>'FASE DEFENSIVA'!AK10</f>
        <v>11</v>
      </c>
      <c r="Q9" s="92"/>
      <c r="R9" s="85" t="s">
        <v>29</v>
      </c>
      <c r="S9" s="94">
        <f>'FASE DEFENSIVA'!AG10</f>
        <v>11</v>
      </c>
      <c r="T9" s="94">
        <f t="shared" si="0"/>
        <v>11</v>
      </c>
      <c r="U9" s="94">
        <f t="shared" si="1"/>
        <v>11</v>
      </c>
    </row>
    <row r="10" spans="1:21" x14ac:dyDescent="0.3">
      <c r="A10" s="85" t="str">
        <f>'FASE OFENSIVA'!A11</f>
        <v>ROGÉRIO</v>
      </c>
      <c r="B10" s="95">
        <f>'FASE OFENSIVA'!AF11</f>
        <v>11</v>
      </c>
      <c r="C10" s="95">
        <f>'FASE OFENSIVA'!AG11</f>
        <v>11</v>
      </c>
      <c r="D10" s="95">
        <f>'FASE OFENSIVA'!AH11</f>
        <v>11</v>
      </c>
      <c r="E10" s="95">
        <f>'FASE OFENSIVA'!AI11</f>
        <v>11</v>
      </c>
      <c r="F10" s="95">
        <f>'FASE OFENSIVA'!AJ11</f>
        <v>11</v>
      </c>
      <c r="G10" s="95">
        <f>'FASE OFENSIVA'!AK11</f>
        <v>11</v>
      </c>
      <c r="H10" s="95">
        <f>'FASE OFENSIVA'!AL11</f>
        <v>11</v>
      </c>
      <c r="I10" s="91"/>
      <c r="J10" s="85" t="str">
        <f>'FASE OFENSIVA'!A11</f>
        <v>ROGÉRIO</v>
      </c>
      <c r="K10" s="93">
        <f>'FASE DEFENSIVA'!AE11</f>
        <v>11</v>
      </c>
      <c r="L10" s="93">
        <f>'FASE DEFENSIVA'!AF11</f>
        <v>11</v>
      </c>
      <c r="M10" s="93">
        <f>'FASE DEFENSIVA'!AH11</f>
        <v>11</v>
      </c>
      <c r="N10" s="93">
        <f>'FASE DEFENSIVA'!AI11</f>
        <v>11</v>
      </c>
      <c r="O10" s="93">
        <f>'FASE DEFENSIVA'!AJ11</f>
        <v>11</v>
      </c>
      <c r="P10" s="93">
        <f>'FASE DEFENSIVA'!AK11</f>
        <v>11</v>
      </c>
      <c r="Q10" s="92"/>
      <c r="R10" s="86" t="s">
        <v>28</v>
      </c>
      <c r="S10" s="94">
        <f>'FASE DEFENSIVA'!AG11</f>
        <v>11</v>
      </c>
      <c r="T10" s="94">
        <f t="shared" si="0"/>
        <v>11</v>
      </c>
      <c r="U10" s="94">
        <f t="shared" si="1"/>
        <v>11</v>
      </c>
    </row>
    <row r="11" spans="1:21" x14ac:dyDescent="0.3">
      <c r="A11" s="85" t="str">
        <f>'FASE OFENSIVA'!A12</f>
        <v>LUCAS SENNA</v>
      </c>
      <c r="B11" s="95">
        <f>'FASE OFENSIVA'!AF12</f>
        <v>0</v>
      </c>
      <c r="C11" s="95">
        <f>'FASE OFENSIVA'!AG12</f>
        <v>0</v>
      </c>
      <c r="D11" s="95">
        <f>'FASE OFENSIVA'!AH12</f>
        <v>75</v>
      </c>
      <c r="E11" s="95">
        <f>'FASE OFENSIVA'!AI12</f>
        <v>11</v>
      </c>
      <c r="F11" s="95">
        <f>'FASE OFENSIVA'!AJ12</f>
        <v>11</v>
      </c>
      <c r="G11" s="95">
        <f>'FASE OFENSIVA'!AK12</f>
        <v>11</v>
      </c>
      <c r="H11" s="95">
        <f>'FASE OFENSIVA'!AL12</f>
        <v>11</v>
      </c>
      <c r="I11" s="91"/>
      <c r="J11" s="85" t="str">
        <f>'FASE OFENSIVA'!A12</f>
        <v>LUCAS SENNA</v>
      </c>
      <c r="K11" s="93">
        <f>'FASE DEFENSIVA'!AE12</f>
        <v>11</v>
      </c>
      <c r="L11" s="93">
        <f>'FASE DEFENSIVA'!AF12</f>
        <v>11</v>
      </c>
      <c r="M11" s="93">
        <f>'FASE DEFENSIVA'!AH12</f>
        <v>11</v>
      </c>
      <c r="N11" s="93">
        <f>'FASE DEFENSIVA'!AI12</f>
        <v>11</v>
      </c>
      <c r="O11" s="93">
        <f>'FASE DEFENSIVA'!AJ12</f>
        <v>11</v>
      </c>
      <c r="P11" s="93">
        <f>'FASE DEFENSIVA'!AK12</f>
        <v>11</v>
      </c>
      <c r="Q11" s="92"/>
      <c r="R11" s="85" t="s">
        <v>30</v>
      </c>
      <c r="S11" s="94">
        <f>'FASE DEFENSIVA'!AG12</f>
        <v>0</v>
      </c>
      <c r="T11" s="94">
        <f t="shared" si="0"/>
        <v>14</v>
      </c>
      <c r="U11" s="94">
        <f t="shared" si="1"/>
        <v>11</v>
      </c>
    </row>
    <row r="12" spans="1:21" x14ac:dyDescent="0.3">
      <c r="A12" s="85" t="str">
        <f>'FASE OFENSIVA'!A13</f>
        <v>GARCIA</v>
      </c>
      <c r="B12" s="95">
        <f>'FASE OFENSIVA'!AF13</f>
        <v>11</v>
      </c>
      <c r="C12" s="95">
        <f>'FASE OFENSIVA'!AG13</f>
        <v>11</v>
      </c>
      <c r="D12" s="95">
        <f>'FASE OFENSIVA'!AH13</f>
        <v>11</v>
      </c>
      <c r="E12" s="95">
        <f>'FASE OFENSIVA'!AI13</f>
        <v>11</v>
      </c>
      <c r="F12" s="95">
        <f>'FASE OFENSIVA'!AJ13</f>
        <v>11</v>
      </c>
      <c r="G12" s="95">
        <f>'FASE OFENSIVA'!AK13</f>
        <v>11</v>
      </c>
      <c r="H12" s="95">
        <f>'FASE OFENSIVA'!AL13</f>
        <v>11</v>
      </c>
      <c r="I12" s="91"/>
      <c r="J12" s="85" t="str">
        <f>'FASE OFENSIVA'!A13</f>
        <v>GARCIA</v>
      </c>
      <c r="K12" s="93">
        <f>'FASE DEFENSIVA'!AE13</f>
        <v>11</v>
      </c>
      <c r="L12" s="93">
        <f>'FASE DEFENSIVA'!AF13</f>
        <v>11</v>
      </c>
      <c r="M12" s="93">
        <f>'FASE DEFENSIVA'!AH13</f>
        <v>11</v>
      </c>
      <c r="N12" s="93">
        <f>'FASE DEFENSIVA'!AI13</f>
        <v>11</v>
      </c>
      <c r="O12" s="93">
        <f>'FASE DEFENSIVA'!AJ13</f>
        <v>11</v>
      </c>
      <c r="P12" s="93">
        <f>'FASE DEFENSIVA'!AK13</f>
        <v>11</v>
      </c>
      <c r="Q12" s="92"/>
      <c r="R12" s="85" t="s">
        <v>33</v>
      </c>
      <c r="S12" s="94">
        <f>'FASE DEFENSIVA'!AG13</f>
        <v>11</v>
      </c>
      <c r="T12" s="94">
        <f t="shared" si="0"/>
        <v>11</v>
      </c>
      <c r="U12" s="94">
        <f t="shared" si="1"/>
        <v>11</v>
      </c>
    </row>
    <row r="13" spans="1:21" x14ac:dyDescent="0.3">
      <c r="A13" s="85" t="str">
        <f>'FASE OFENSIVA'!A14</f>
        <v>FOGO</v>
      </c>
      <c r="B13" s="95">
        <f>'FASE OFENSIVA'!AF14</f>
        <v>11</v>
      </c>
      <c r="C13" s="95">
        <f>'FASE OFENSIVA'!AG14</f>
        <v>11</v>
      </c>
      <c r="D13" s="95">
        <f>'FASE OFENSIVA'!AH14</f>
        <v>11</v>
      </c>
      <c r="E13" s="95">
        <f>'FASE OFENSIVA'!AI14</f>
        <v>11</v>
      </c>
      <c r="F13" s="95">
        <f>'FASE OFENSIVA'!AJ14</f>
        <v>11</v>
      </c>
      <c r="G13" s="95">
        <f>'FASE OFENSIVA'!AK14</f>
        <v>11</v>
      </c>
      <c r="H13" s="95">
        <f>'FASE OFENSIVA'!AL14</f>
        <v>11</v>
      </c>
      <c r="I13" s="91"/>
      <c r="J13" s="85" t="str">
        <f>'FASE OFENSIVA'!A14</f>
        <v>FOGO</v>
      </c>
      <c r="K13" s="93">
        <f>'FASE DEFENSIVA'!AE14</f>
        <v>11</v>
      </c>
      <c r="L13" s="93">
        <f>'FASE DEFENSIVA'!AF14</f>
        <v>11</v>
      </c>
      <c r="M13" s="93">
        <f>'FASE DEFENSIVA'!AH14</f>
        <v>11</v>
      </c>
      <c r="N13" s="93">
        <f>'FASE DEFENSIVA'!AI14</f>
        <v>11</v>
      </c>
      <c r="O13" s="93">
        <f>'FASE DEFENSIVA'!AJ14</f>
        <v>11</v>
      </c>
      <c r="P13" s="93">
        <f>'FASE DEFENSIVA'!AK14</f>
        <v>11</v>
      </c>
      <c r="Q13" s="92"/>
      <c r="R13" s="85" t="s">
        <v>34</v>
      </c>
      <c r="S13" s="94">
        <f>'FASE DEFENSIVA'!AG14</f>
        <v>11</v>
      </c>
      <c r="T13" s="94">
        <f t="shared" si="0"/>
        <v>11</v>
      </c>
      <c r="U13" s="94">
        <f t="shared" si="1"/>
        <v>11</v>
      </c>
    </row>
    <row r="14" spans="1:21" x14ac:dyDescent="0.3">
      <c r="A14" s="85" t="str">
        <f>'FASE OFENSIVA'!A15</f>
        <v>TITO</v>
      </c>
      <c r="B14" s="95">
        <f>'FASE OFENSIVA'!AF15</f>
        <v>11</v>
      </c>
      <c r="C14" s="95">
        <f>'FASE OFENSIVA'!AG15</f>
        <v>11</v>
      </c>
      <c r="D14" s="95">
        <f>'FASE OFENSIVA'!AH15</f>
        <v>11</v>
      </c>
      <c r="E14" s="95">
        <f>'FASE OFENSIVA'!AI15</f>
        <v>11</v>
      </c>
      <c r="F14" s="95">
        <f>'FASE OFENSIVA'!AJ15</f>
        <v>11</v>
      </c>
      <c r="G14" s="95">
        <f>'FASE OFENSIVA'!AK15</f>
        <v>11</v>
      </c>
      <c r="H14" s="95">
        <f>'FASE OFENSIVA'!AL15</f>
        <v>11</v>
      </c>
      <c r="I14" s="91"/>
      <c r="J14" s="85" t="str">
        <f>'FASE OFENSIVA'!A15</f>
        <v>TITO</v>
      </c>
      <c r="K14" s="93">
        <f>'FASE DEFENSIVA'!AE15</f>
        <v>11</v>
      </c>
      <c r="L14" s="93">
        <f>'FASE DEFENSIVA'!AF15</f>
        <v>11</v>
      </c>
      <c r="M14" s="93">
        <f>'FASE DEFENSIVA'!AH15</f>
        <v>11</v>
      </c>
      <c r="N14" s="93">
        <f>'FASE DEFENSIVA'!AI15</f>
        <v>11</v>
      </c>
      <c r="O14" s="93">
        <f>'FASE DEFENSIVA'!AJ15</f>
        <v>11</v>
      </c>
      <c r="P14" s="93">
        <f>'FASE DEFENSIVA'!AK15</f>
        <v>11</v>
      </c>
      <c r="Q14" s="92"/>
      <c r="R14" s="85" t="s">
        <v>32</v>
      </c>
      <c r="S14" s="94">
        <f>'FASE DEFENSIVA'!AG15</f>
        <v>11</v>
      </c>
      <c r="T14" s="94">
        <f t="shared" si="0"/>
        <v>11</v>
      </c>
      <c r="U14" s="94">
        <f t="shared" si="1"/>
        <v>11</v>
      </c>
    </row>
    <row r="15" spans="1:21" x14ac:dyDescent="0.3">
      <c r="A15" s="85" t="str">
        <f>'FASE OFENSIVA'!A16</f>
        <v>PIETRO</v>
      </c>
      <c r="B15" s="95">
        <f>'FASE OFENSIVA'!AF16</f>
        <v>11</v>
      </c>
      <c r="C15" s="95">
        <f>'FASE OFENSIVA'!AG16</f>
        <v>11</v>
      </c>
      <c r="D15" s="95">
        <f>'FASE OFENSIVA'!AH16</f>
        <v>11</v>
      </c>
      <c r="E15" s="95">
        <f>'FASE OFENSIVA'!AI16</f>
        <v>11</v>
      </c>
      <c r="F15" s="95">
        <f>'FASE OFENSIVA'!AJ16</f>
        <v>11</v>
      </c>
      <c r="G15" s="95">
        <f>'FASE OFENSIVA'!AK16</f>
        <v>11</v>
      </c>
      <c r="H15" s="95">
        <f>'FASE OFENSIVA'!AL16</f>
        <v>11</v>
      </c>
      <c r="I15" s="91"/>
      <c r="J15" s="85" t="str">
        <f>'FASE OFENSIVA'!A16</f>
        <v>PIETRO</v>
      </c>
      <c r="K15" s="93">
        <f>'FASE DEFENSIVA'!AE16</f>
        <v>11</v>
      </c>
      <c r="L15" s="93">
        <f>'FASE DEFENSIVA'!AF16</f>
        <v>11</v>
      </c>
      <c r="M15" s="93">
        <f>'FASE DEFENSIVA'!AH16</f>
        <v>11</v>
      </c>
      <c r="N15" s="93">
        <f>'FASE DEFENSIVA'!AI16</f>
        <v>11</v>
      </c>
      <c r="O15" s="93">
        <f>'FASE DEFENSIVA'!AJ16</f>
        <v>11</v>
      </c>
      <c r="P15" s="93">
        <f>'FASE DEFENSIVA'!AK16</f>
        <v>11</v>
      </c>
      <c r="Q15" s="92"/>
      <c r="R15" s="85" t="s">
        <v>44</v>
      </c>
      <c r="S15" s="94">
        <f>'FASE DEFENSIVA'!AG16</f>
        <v>11</v>
      </c>
      <c r="T15" s="94">
        <f t="shared" si="0"/>
        <v>11</v>
      </c>
      <c r="U15" s="94">
        <f t="shared" si="1"/>
        <v>11</v>
      </c>
    </row>
    <row r="16" spans="1:21" x14ac:dyDescent="0.3">
      <c r="A16" s="85" t="str">
        <f>'FASE OFENSIVA'!A17</f>
        <v>ALYSSON</v>
      </c>
      <c r="B16" s="95">
        <f>'FASE OFENSIVA'!AF17</f>
        <v>11</v>
      </c>
      <c r="C16" s="95">
        <f>'FASE OFENSIVA'!AG17</f>
        <v>11</v>
      </c>
      <c r="D16" s="95">
        <f>'FASE OFENSIVA'!AH17</f>
        <v>11</v>
      </c>
      <c r="E16" s="95">
        <f>'FASE OFENSIVA'!AI17</f>
        <v>11</v>
      </c>
      <c r="F16" s="95">
        <f>'FASE OFENSIVA'!AJ17</f>
        <v>11</v>
      </c>
      <c r="G16" s="95">
        <f>'FASE OFENSIVA'!AK17</f>
        <v>11</v>
      </c>
      <c r="H16" s="95">
        <f>'FASE OFENSIVA'!AL17</f>
        <v>11</v>
      </c>
      <c r="I16" s="91"/>
      <c r="J16" s="85" t="str">
        <f>'FASE OFENSIVA'!A17</f>
        <v>ALYSSON</v>
      </c>
      <c r="K16" s="93">
        <f>'FASE DEFENSIVA'!AE17</f>
        <v>11</v>
      </c>
      <c r="L16" s="93">
        <f>'FASE DEFENSIVA'!AF17</f>
        <v>11</v>
      </c>
      <c r="M16" s="93">
        <f>'FASE DEFENSIVA'!AH17</f>
        <v>11</v>
      </c>
      <c r="N16" s="93">
        <f>'FASE DEFENSIVA'!AI17</f>
        <v>11</v>
      </c>
      <c r="O16" s="93">
        <f>'FASE DEFENSIVA'!AJ17</f>
        <v>11</v>
      </c>
      <c r="P16" s="93">
        <f>'FASE DEFENSIVA'!AK17</f>
        <v>11</v>
      </c>
      <c r="Q16" s="92"/>
      <c r="R16" s="85" t="s">
        <v>36</v>
      </c>
      <c r="S16" s="94">
        <f>'FASE DEFENSIVA'!AG17</f>
        <v>11</v>
      </c>
      <c r="T16" s="94">
        <f t="shared" si="0"/>
        <v>11</v>
      </c>
      <c r="U16" s="94">
        <f t="shared" si="1"/>
        <v>11</v>
      </c>
    </row>
    <row r="17" spans="1:21" x14ac:dyDescent="0.3">
      <c r="A17" s="85" t="str">
        <f>'FASE OFENSIVA'!A18</f>
        <v>LÉO ELIAS</v>
      </c>
      <c r="B17" s="95">
        <f>'FASE OFENSIVA'!AF18</f>
        <v>11</v>
      </c>
      <c r="C17" s="95">
        <f>'FASE OFENSIVA'!AG18</f>
        <v>11</v>
      </c>
      <c r="D17" s="95">
        <f>'FASE OFENSIVA'!AH18</f>
        <v>11</v>
      </c>
      <c r="E17" s="95">
        <f>'FASE OFENSIVA'!AI18</f>
        <v>11</v>
      </c>
      <c r="F17" s="95">
        <f>'FASE OFENSIVA'!AJ18</f>
        <v>11</v>
      </c>
      <c r="G17" s="95">
        <f>'FASE OFENSIVA'!AK18</f>
        <v>11</v>
      </c>
      <c r="H17" s="95">
        <f>'FASE OFENSIVA'!AL18</f>
        <v>11</v>
      </c>
      <c r="I17" s="91"/>
      <c r="J17" s="85" t="str">
        <f>'FASE OFENSIVA'!A18</f>
        <v>LÉO ELIAS</v>
      </c>
      <c r="K17" s="93">
        <f>'FASE DEFENSIVA'!AE18</f>
        <v>11</v>
      </c>
      <c r="L17" s="93">
        <f>'FASE DEFENSIVA'!AF18</f>
        <v>11</v>
      </c>
      <c r="M17" s="93">
        <f>'FASE DEFENSIVA'!AH18</f>
        <v>11</v>
      </c>
      <c r="N17" s="93">
        <f>'FASE DEFENSIVA'!AI18</f>
        <v>11</v>
      </c>
      <c r="O17" s="93">
        <f>'FASE DEFENSIVA'!AJ18</f>
        <v>11</v>
      </c>
      <c r="P17" s="93">
        <f>'FASE DEFENSIVA'!AK18</f>
        <v>11</v>
      </c>
      <c r="Q17" s="92"/>
      <c r="R17" s="85" t="s">
        <v>37</v>
      </c>
      <c r="S17" s="94">
        <f>'FASE DEFENSIVA'!AG18</f>
        <v>11</v>
      </c>
      <c r="T17" s="94">
        <f t="shared" si="0"/>
        <v>11</v>
      </c>
      <c r="U17" s="94">
        <f t="shared" si="1"/>
        <v>11</v>
      </c>
    </row>
    <row r="18" spans="1:21" x14ac:dyDescent="0.3">
      <c r="A18" s="85" t="str">
        <f>'FASE OFENSIVA'!A19</f>
        <v>LÉO RUDEK</v>
      </c>
      <c r="B18" s="95">
        <f>'FASE OFENSIVA'!AF19</f>
        <v>11</v>
      </c>
      <c r="C18" s="95">
        <f>'FASE OFENSIVA'!AG19</f>
        <v>11</v>
      </c>
      <c r="D18" s="95">
        <f>'FASE OFENSIVA'!AH19</f>
        <v>11</v>
      </c>
      <c r="E18" s="95">
        <f>'FASE OFENSIVA'!AI19</f>
        <v>11</v>
      </c>
      <c r="F18" s="95">
        <f>'FASE OFENSIVA'!AJ19</f>
        <v>11</v>
      </c>
      <c r="G18" s="95">
        <f>'FASE OFENSIVA'!AK19</f>
        <v>11</v>
      </c>
      <c r="H18" s="95">
        <f>'FASE OFENSIVA'!AL19</f>
        <v>11</v>
      </c>
      <c r="I18" s="91"/>
      <c r="J18" s="85" t="str">
        <f>'FASE OFENSIVA'!A19</f>
        <v>LÉO RUDEK</v>
      </c>
      <c r="K18" s="93">
        <f>'FASE DEFENSIVA'!AE19</f>
        <v>11</v>
      </c>
      <c r="L18" s="93">
        <f>'FASE DEFENSIVA'!AF19</f>
        <v>11</v>
      </c>
      <c r="M18" s="93">
        <f>'FASE DEFENSIVA'!AH19</f>
        <v>11</v>
      </c>
      <c r="N18" s="93">
        <f>'FASE DEFENSIVA'!AI19</f>
        <v>11</v>
      </c>
      <c r="O18" s="93">
        <f>'FASE DEFENSIVA'!AJ19</f>
        <v>11</v>
      </c>
      <c r="P18" s="93">
        <f>'FASE DEFENSIVA'!AK19</f>
        <v>11</v>
      </c>
      <c r="Q18" s="92"/>
      <c r="R18" s="85" t="s">
        <v>35</v>
      </c>
      <c r="S18" s="94">
        <f>'FASE DEFENSIVA'!AG19</f>
        <v>11</v>
      </c>
      <c r="T18" s="94">
        <f t="shared" si="0"/>
        <v>11</v>
      </c>
      <c r="U18" s="94">
        <f t="shared" si="1"/>
        <v>11</v>
      </c>
    </row>
    <row r="19" spans="1:21" x14ac:dyDescent="0.3">
      <c r="A19" s="85" t="str">
        <f>'FASE OFENSIVA'!A20</f>
        <v>BAISCH</v>
      </c>
      <c r="B19" s="95">
        <f>'FASE OFENSIVA'!AF20</f>
        <v>11</v>
      </c>
      <c r="C19" s="95">
        <f>'FASE OFENSIVA'!AG20</f>
        <v>11</v>
      </c>
      <c r="D19" s="95">
        <f>'FASE OFENSIVA'!AH20</f>
        <v>11</v>
      </c>
      <c r="E19" s="95">
        <f>'FASE OFENSIVA'!AI20</f>
        <v>11</v>
      </c>
      <c r="F19" s="95">
        <f>'FASE OFENSIVA'!AJ20</f>
        <v>11</v>
      </c>
      <c r="G19" s="95">
        <f>'FASE OFENSIVA'!AK20</f>
        <v>11</v>
      </c>
      <c r="H19" s="95">
        <f>'FASE OFENSIVA'!AL20</f>
        <v>11</v>
      </c>
      <c r="I19" s="91"/>
      <c r="J19" s="85" t="str">
        <f>'FASE OFENSIVA'!A20</f>
        <v>BAISCH</v>
      </c>
      <c r="K19" s="93">
        <f>'FASE DEFENSIVA'!AE20</f>
        <v>11</v>
      </c>
      <c r="L19" s="93">
        <f>'FASE DEFENSIVA'!AF20</f>
        <v>11</v>
      </c>
      <c r="M19" s="93">
        <f>'FASE DEFENSIVA'!AH20</f>
        <v>11</v>
      </c>
      <c r="N19" s="93">
        <f>'FASE DEFENSIVA'!AI20</f>
        <v>11</v>
      </c>
      <c r="O19" s="93">
        <f>'FASE DEFENSIVA'!AJ20</f>
        <v>11</v>
      </c>
      <c r="P19" s="93">
        <f>'FASE DEFENSIVA'!AK20</f>
        <v>11</v>
      </c>
      <c r="Q19" s="92"/>
      <c r="R19" s="85" t="s">
        <v>45</v>
      </c>
      <c r="S19" s="94">
        <f>'FASE DEFENSIVA'!AG20</f>
        <v>11</v>
      </c>
      <c r="T19" s="94">
        <f t="shared" si="0"/>
        <v>11</v>
      </c>
      <c r="U19" s="94">
        <f t="shared" si="1"/>
        <v>11</v>
      </c>
    </row>
    <row r="20" spans="1:21" x14ac:dyDescent="0.3">
      <c r="B20" s="96">
        <f t="shared" ref="B20:D20" si="2">AVERAGEIF(B4:B19,"&lt;&gt;"&amp;"#DIV/0!",B4:B19)</f>
        <v>10.3125</v>
      </c>
      <c r="C20" s="96">
        <f t="shared" si="2"/>
        <v>10.3125</v>
      </c>
      <c r="D20" s="96">
        <f t="shared" si="2"/>
        <v>15</v>
      </c>
      <c r="E20" s="96">
        <f>AVERAGEIF(E4:E19,"&lt;&gt;"&amp;"#DIV/0!",E4:E19)</f>
        <v>11</v>
      </c>
      <c r="F20" s="96">
        <f t="shared" ref="F20:H20" si="3">AVERAGEIF(F4:F19,"&lt;&gt;"&amp;"#DIV/0!",F4:F19)</f>
        <v>11</v>
      </c>
      <c r="G20" s="96">
        <f t="shared" si="3"/>
        <v>11</v>
      </c>
      <c r="H20" s="96">
        <f t="shared" si="3"/>
        <v>11</v>
      </c>
      <c r="I20" s="96"/>
      <c r="K20" s="96">
        <f>AVERAGEIF(K4:K19,"&lt;&gt;"&amp;"#DIV/0!",K4:K19)</f>
        <v>14.0625</v>
      </c>
      <c r="L20" s="96">
        <f t="shared" ref="L20:P20" si="4">AVERAGEIF(L4:L19,"&lt;&gt;"&amp;"#DIV/0!",L4:L19)</f>
        <v>12.875</v>
      </c>
      <c r="M20" s="96">
        <f t="shared" si="4"/>
        <v>12.635416666666668</v>
      </c>
      <c r="N20" s="96">
        <f t="shared" si="4"/>
        <v>14.5625</v>
      </c>
      <c r="O20" s="96">
        <f t="shared" si="4"/>
        <v>11.979166666666666</v>
      </c>
      <c r="P20" s="96">
        <f t="shared" si="4"/>
        <v>13.883928571428571</v>
      </c>
      <c r="Q20" s="96"/>
      <c r="S20" s="96">
        <f t="shared" ref="S20:U20" si="5">AVERAGE(S4:S19)</f>
        <v>13.791666666666668</v>
      </c>
      <c r="T20" s="96">
        <f t="shared" si="5"/>
        <v>12.354042658730158</v>
      </c>
      <c r="U20" s="96">
        <f t="shared" si="5"/>
        <v>12.029513888888889</v>
      </c>
    </row>
    <row r="22" spans="1:21" ht="15.6" x14ac:dyDescent="0.3">
      <c r="A22" s="81"/>
      <c r="B22" s="200" t="s">
        <v>131</v>
      </c>
      <c r="C22" s="201"/>
      <c r="D22" s="201"/>
      <c r="E22" s="201"/>
      <c r="F22" s="201"/>
      <c r="G22" s="201"/>
      <c r="H22" s="202"/>
      <c r="J22" s="81"/>
      <c r="K22" s="203" t="s">
        <v>135</v>
      </c>
      <c r="L22" s="204"/>
      <c r="M22" s="204"/>
      <c r="N22" s="204"/>
      <c r="O22" s="204"/>
      <c r="P22" s="205"/>
      <c r="R22" s="81"/>
      <c r="S22" s="199" t="s">
        <v>22</v>
      </c>
      <c r="T22" s="199"/>
      <c r="U22" s="199"/>
    </row>
    <row r="23" spans="1:21" x14ac:dyDescent="0.3">
      <c r="A23" s="82"/>
      <c r="B23" s="194" t="s">
        <v>139</v>
      </c>
      <c r="C23" s="195"/>
      <c r="D23" s="196"/>
      <c r="E23" s="194" t="s">
        <v>140</v>
      </c>
      <c r="F23" s="196"/>
      <c r="G23" s="87" t="s">
        <v>133</v>
      </c>
      <c r="H23" s="87" t="s">
        <v>133</v>
      </c>
      <c r="J23" s="82"/>
      <c r="K23" s="83"/>
      <c r="L23" s="83"/>
      <c r="M23" s="83"/>
      <c r="N23" s="83"/>
      <c r="O23" s="83" t="s">
        <v>133</v>
      </c>
      <c r="P23" s="83" t="s">
        <v>133</v>
      </c>
      <c r="R23" s="82"/>
      <c r="S23" s="89"/>
      <c r="T23" s="90"/>
      <c r="U23" s="89"/>
    </row>
    <row r="24" spans="1:21" x14ac:dyDescent="0.3">
      <c r="A24" s="64" t="s">
        <v>2</v>
      </c>
      <c r="B24" s="88" t="s">
        <v>0</v>
      </c>
      <c r="C24" s="88" t="s">
        <v>132</v>
      </c>
      <c r="D24" s="88" t="s">
        <v>7</v>
      </c>
      <c r="E24" s="88" t="s">
        <v>115</v>
      </c>
      <c r="F24" s="88" t="s">
        <v>116</v>
      </c>
      <c r="G24" s="88" t="s">
        <v>134</v>
      </c>
      <c r="H24" s="88" t="s">
        <v>123</v>
      </c>
      <c r="J24" s="64" t="s">
        <v>2</v>
      </c>
      <c r="K24" s="84" t="s">
        <v>18</v>
      </c>
      <c r="L24" s="84" t="s">
        <v>136</v>
      </c>
      <c r="M24" s="84" t="s">
        <v>137</v>
      </c>
      <c r="N24" s="84" t="s">
        <v>138</v>
      </c>
      <c r="O24" s="84" t="s">
        <v>134</v>
      </c>
      <c r="P24" s="84" t="s">
        <v>123</v>
      </c>
      <c r="R24" s="64" t="s">
        <v>2</v>
      </c>
      <c r="S24" s="89" t="s">
        <v>151</v>
      </c>
      <c r="T24" s="90" t="s">
        <v>22</v>
      </c>
      <c r="U24" s="89" t="s">
        <v>152</v>
      </c>
    </row>
    <row r="25" spans="1:21" x14ac:dyDescent="0.3">
      <c r="A25" s="85" t="str">
        <f>'FASE OFENSIVA'!A5</f>
        <v>MATEUS</v>
      </c>
      <c r="B25" s="110">
        <f>(B4-B$20)/10</f>
        <v>6.8750000000000006E-2</v>
      </c>
      <c r="C25" s="110">
        <f t="shared" ref="B25:H34" si="6">(C4-C$20)/10</f>
        <v>6.8750000000000006E-2</v>
      </c>
      <c r="D25" s="110">
        <f t="shared" si="6"/>
        <v>-0.4</v>
      </c>
      <c r="E25" s="110">
        <f t="shared" si="6"/>
        <v>0</v>
      </c>
      <c r="F25" s="110">
        <f t="shared" si="6"/>
        <v>0</v>
      </c>
      <c r="G25" s="110">
        <f>(G4-G$20)/10</f>
        <v>0</v>
      </c>
      <c r="H25" s="110">
        <f t="shared" si="6"/>
        <v>0</v>
      </c>
      <c r="I25" s="91"/>
      <c r="J25" s="85" t="str">
        <f>'FASE OFENSIVA'!A5</f>
        <v>MATEUS</v>
      </c>
      <c r="K25" s="110">
        <f t="shared" ref="K25:P34" si="7">(K4-K$20)/10</f>
        <v>4.59375</v>
      </c>
      <c r="L25" s="110">
        <f t="shared" si="7"/>
        <v>2.8125</v>
      </c>
      <c r="M25" s="110">
        <f t="shared" si="7"/>
        <v>2.4531250000000004</v>
      </c>
      <c r="N25" s="110">
        <f t="shared" si="7"/>
        <v>5.34375</v>
      </c>
      <c r="O25" s="110">
        <f t="shared" si="7"/>
        <v>1.4687499999999998</v>
      </c>
      <c r="P25" s="110">
        <f t="shared" si="7"/>
        <v>4.3258928571428577</v>
      </c>
      <c r="R25" s="85" t="s">
        <v>25</v>
      </c>
      <c r="S25" s="110">
        <f t="shared" ref="S25:U40" si="8">(S4-S$20)/10</f>
        <v>5.2874999999999996</v>
      </c>
      <c r="T25" s="110">
        <f t="shared" si="8"/>
        <v>1.7310639880952383</v>
      </c>
      <c r="U25" s="110">
        <f t="shared" si="8"/>
        <v>1.5442708333333335</v>
      </c>
    </row>
    <row r="26" spans="1:21" x14ac:dyDescent="0.3">
      <c r="A26" s="85" t="str">
        <f>'FASE OFENSIVA'!A6</f>
        <v>RAFINHA</v>
      </c>
      <c r="B26" s="110">
        <f t="shared" si="6"/>
        <v>6.8750000000000006E-2</v>
      </c>
      <c r="C26" s="110">
        <f t="shared" si="6"/>
        <v>6.8750000000000006E-2</v>
      </c>
      <c r="D26" s="110">
        <f t="shared" si="6"/>
        <v>-0.4</v>
      </c>
      <c r="E26" s="110">
        <f t="shared" si="6"/>
        <v>0</v>
      </c>
      <c r="F26" s="110">
        <f t="shared" si="6"/>
        <v>0</v>
      </c>
      <c r="G26" s="110">
        <f t="shared" si="6"/>
        <v>0</v>
      </c>
      <c r="H26" s="110">
        <f t="shared" si="6"/>
        <v>0</v>
      </c>
      <c r="I26" s="91"/>
      <c r="J26" s="85" t="str">
        <f>'FASE OFENSIVA'!A6</f>
        <v>RAFINHA</v>
      </c>
      <c r="K26" s="110">
        <f t="shared" si="7"/>
        <v>-0.30625000000000002</v>
      </c>
      <c r="L26" s="110">
        <f t="shared" si="7"/>
        <v>-0.1875</v>
      </c>
      <c r="M26" s="110">
        <f t="shared" si="7"/>
        <v>-0.16354166666666678</v>
      </c>
      <c r="N26" s="110">
        <f t="shared" si="7"/>
        <v>-0.35625000000000001</v>
      </c>
      <c r="O26" s="110">
        <f t="shared" si="7"/>
        <v>-9.791666666666661E-2</v>
      </c>
      <c r="P26" s="110">
        <f t="shared" si="7"/>
        <v>-0.28839285714285712</v>
      </c>
      <c r="R26" s="86" t="s">
        <v>26</v>
      </c>
      <c r="S26" s="110">
        <f t="shared" si="8"/>
        <v>-0.27916666666666679</v>
      </c>
      <c r="T26" s="110">
        <f t="shared" si="8"/>
        <v>-0.13540426587301582</v>
      </c>
      <c r="U26" s="110">
        <f t="shared" si="8"/>
        <v>-0.10295138888888893</v>
      </c>
    </row>
    <row r="27" spans="1:21" x14ac:dyDescent="0.3">
      <c r="A27" s="85" t="str">
        <f>'FASE OFENSIVA'!A7</f>
        <v>TARIQ</v>
      </c>
      <c r="B27" s="110">
        <f t="shared" si="6"/>
        <v>6.8750000000000006E-2</v>
      </c>
      <c r="C27" s="110">
        <f t="shared" si="6"/>
        <v>6.8750000000000006E-2</v>
      </c>
      <c r="D27" s="110">
        <f t="shared" si="6"/>
        <v>-0.4</v>
      </c>
      <c r="E27" s="110">
        <f t="shared" si="6"/>
        <v>0</v>
      </c>
      <c r="F27" s="110">
        <f t="shared" si="6"/>
        <v>0</v>
      </c>
      <c r="G27" s="110">
        <f t="shared" si="6"/>
        <v>0</v>
      </c>
      <c r="H27" s="110">
        <f t="shared" si="6"/>
        <v>0</v>
      </c>
      <c r="I27" s="91"/>
      <c r="J27" s="85" t="str">
        <f>'FASE OFENSIVA'!A7</f>
        <v>TARIQ</v>
      </c>
      <c r="K27" s="110">
        <f t="shared" si="7"/>
        <v>-0.30625000000000002</v>
      </c>
      <c r="L27" s="110">
        <f t="shared" si="7"/>
        <v>-0.1875</v>
      </c>
      <c r="M27" s="110">
        <f t="shared" si="7"/>
        <v>-0.16354166666666678</v>
      </c>
      <c r="N27" s="110">
        <f t="shared" si="7"/>
        <v>-0.35625000000000001</v>
      </c>
      <c r="O27" s="110">
        <f t="shared" si="7"/>
        <v>-9.791666666666661E-2</v>
      </c>
      <c r="P27" s="110">
        <f t="shared" si="7"/>
        <v>-0.28839285714285712</v>
      </c>
      <c r="R27" s="86" t="s">
        <v>24</v>
      </c>
      <c r="S27" s="110">
        <f t="shared" si="8"/>
        <v>-0.27916666666666679</v>
      </c>
      <c r="T27" s="110">
        <f t="shared" si="8"/>
        <v>-0.13540426587301582</v>
      </c>
      <c r="U27" s="110">
        <f t="shared" si="8"/>
        <v>-0.10295138888888893</v>
      </c>
    </row>
    <row r="28" spans="1:21" x14ac:dyDescent="0.3">
      <c r="A28" s="85" t="str">
        <f>'FASE OFENSIVA'!A8</f>
        <v>TETEU</v>
      </c>
      <c r="B28" s="110">
        <f t="shared" si="6"/>
        <v>6.8750000000000006E-2</v>
      </c>
      <c r="C28" s="110">
        <f t="shared" si="6"/>
        <v>6.8750000000000006E-2</v>
      </c>
      <c r="D28" s="110">
        <f t="shared" si="6"/>
        <v>-0.4</v>
      </c>
      <c r="E28" s="110">
        <f t="shared" si="6"/>
        <v>0</v>
      </c>
      <c r="F28" s="110">
        <f t="shared" si="6"/>
        <v>0</v>
      </c>
      <c r="G28" s="110">
        <f t="shared" si="6"/>
        <v>0</v>
      </c>
      <c r="H28" s="110">
        <f t="shared" si="6"/>
        <v>0</v>
      </c>
      <c r="I28" s="91"/>
      <c r="J28" s="85" t="str">
        <f>'FASE OFENSIVA'!A8</f>
        <v>TETEU</v>
      </c>
      <c r="K28" s="110">
        <f t="shared" si="7"/>
        <v>-0.30625000000000002</v>
      </c>
      <c r="L28" s="110">
        <f t="shared" si="7"/>
        <v>-0.1875</v>
      </c>
      <c r="M28" s="110">
        <f t="shared" si="7"/>
        <v>-0.16354166666666678</v>
      </c>
      <c r="N28" s="110">
        <f t="shared" si="7"/>
        <v>-0.35625000000000001</v>
      </c>
      <c r="O28" s="110">
        <f t="shared" si="7"/>
        <v>-9.791666666666661E-2</v>
      </c>
      <c r="P28" s="110">
        <f t="shared" si="7"/>
        <v>-0.28839285714285712</v>
      </c>
      <c r="R28" s="86" t="s">
        <v>27</v>
      </c>
      <c r="S28" s="110">
        <f t="shared" si="8"/>
        <v>-0.27916666666666679</v>
      </c>
      <c r="T28" s="110">
        <f t="shared" si="8"/>
        <v>-0.13540426587301582</v>
      </c>
      <c r="U28" s="110">
        <f t="shared" si="8"/>
        <v>-0.10295138888888893</v>
      </c>
    </row>
    <row r="29" spans="1:21" x14ac:dyDescent="0.3">
      <c r="A29" s="85" t="str">
        <f>'FASE OFENSIVA'!A9</f>
        <v>LORENZO</v>
      </c>
      <c r="B29" s="110">
        <f t="shared" si="6"/>
        <v>6.8750000000000006E-2</v>
      </c>
      <c r="C29" s="110">
        <f t="shared" si="6"/>
        <v>6.8750000000000006E-2</v>
      </c>
      <c r="D29" s="110">
        <f t="shared" si="6"/>
        <v>-0.4</v>
      </c>
      <c r="E29" s="110">
        <f t="shared" si="6"/>
        <v>0</v>
      </c>
      <c r="F29" s="110">
        <f t="shared" si="6"/>
        <v>0</v>
      </c>
      <c r="G29" s="110">
        <f t="shared" si="6"/>
        <v>0</v>
      </c>
      <c r="H29" s="110">
        <f t="shared" si="6"/>
        <v>0</v>
      </c>
      <c r="I29" s="91"/>
      <c r="J29" s="85" t="str">
        <f>'FASE OFENSIVA'!A9</f>
        <v>LORENZO</v>
      </c>
      <c r="K29" s="110">
        <f t="shared" si="7"/>
        <v>-0.30625000000000002</v>
      </c>
      <c r="L29" s="110">
        <f t="shared" si="7"/>
        <v>-0.1875</v>
      </c>
      <c r="M29" s="110">
        <f t="shared" si="7"/>
        <v>-0.16354166666666678</v>
      </c>
      <c r="N29" s="110">
        <f t="shared" si="7"/>
        <v>-0.35625000000000001</v>
      </c>
      <c r="O29" s="110">
        <f t="shared" si="7"/>
        <v>-9.791666666666661E-2</v>
      </c>
      <c r="P29" s="110">
        <f t="shared" si="7"/>
        <v>-0.28839285714285712</v>
      </c>
      <c r="R29" s="85" t="s">
        <v>31</v>
      </c>
      <c r="S29" s="110">
        <f t="shared" si="8"/>
        <v>-0.27916666666666679</v>
      </c>
      <c r="T29" s="110">
        <f t="shared" si="8"/>
        <v>-0.13540426587301582</v>
      </c>
      <c r="U29" s="110">
        <f t="shared" si="8"/>
        <v>-0.10295138888888893</v>
      </c>
    </row>
    <row r="30" spans="1:21" x14ac:dyDescent="0.3">
      <c r="A30" s="85" t="str">
        <f>'FASE OFENSIVA'!A10</f>
        <v>PEPO</v>
      </c>
      <c r="B30" s="110">
        <f t="shared" si="6"/>
        <v>6.8750000000000006E-2</v>
      </c>
      <c r="C30" s="110">
        <f t="shared" si="6"/>
        <v>6.8750000000000006E-2</v>
      </c>
      <c r="D30" s="110">
        <f t="shared" si="6"/>
        <v>-0.4</v>
      </c>
      <c r="E30" s="110">
        <f t="shared" si="6"/>
        <v>0</v>
      </c>
      <c r="F30" s="110">
        <f t="shared" si="6"/>
        <v>0</v>
      </c>
      <c r="G30" s="110">
        <f t="shared" si="6"/>
        <v>0</v>
      </c>
      <c r="H30" s="110">
        <f t="shared" si="6"/>
        <v>0</v>
      </c>
      <c r="I30" s="91"/>
      <c r="J30" s="85" t="str">
        <f>'FASE OFENSIVA'!A10</f>
        <v>PEPO</v>
      </c>
      <c r="K30" s="110">
        <f t="shared" si="7"/>
        <v>-0.30625000000000002</v>
      </c>
      <c r="L30" s="110">
        <f t="shared" si="7"/>
        <v>-0.1875</v>
      </c>
      <c r="M30" s="110">
        <f t="shared" si="7"/>
        <v>-0.16354166666666678</v>
      </c>
      <c r="N30" s="110">
        <f t="shared" si="7"/>
        <v>-0.35625000000000001</v>
      </c>
      <c r="O30" s="110">
        <f t="shared" si="7"/>
        <v>-9.791666666666661E-2</v>
      </c>
      <c r="P30" s="110">
        <f t="shared" si="7"/>
        <v>-0.28839285714285712</v>
      </c>
      <c r="R30" s="85" t="s">
        <v>29</v>
      </c>
      <c r="S30" s="110">
        <f t="shared" si="8"/>
        <v>-0.27916666666666679</v>
      </c>
      <c r="T30" s="110">
        <f t="shared" si="8"/>
        <v>-0.13540426587301582</v>
      </c>
      <c r="U30" s="110">
        <f t="shared" si="8"/>
        <v>-0.10295138888888893</v>
      </c>
    </row>
    <row r="31" spans="1:21" x14ac:dyDescent="0.3">
      <c r="A31" s="85" t="str">
        <f>'FASE OFENSIVA'!A11</f>
        <v>ROGÉRIO</v>
      </c>
      <c r="B31" s="110">
        <f t="shared" si="6"/>
        <v>6.8750000000000006E-2</v>
      </c>
      <c r="C31" s="110">
        <f t="shared" si="6"/>
        <v>6.8750000000000006E-2</v>
      </c>
      <c r="D31" s="110">
        <f t="shared" si="6"/>
        <v>-0.4</v>
      </c>
      <c r="E31" s="110">
        <f t="shared" si="6"/>
        <v>0</v>
      </c>
      <c r="F31" s="110">
        <f t="shared" si="6"/>
        <v>0</v>
      </c>
      <c r="G31" s="110">
        <f t="shared" si="6"/>
        <v>0</v>
      </c>
      <c r="H31" s="110">
        <f t="shared" si="6"/>
        <v>0</v>
      </c>
      <c r="I31" s="91"/>
      <c r="J31" s="85" t="str">
        <f>'FASE OFENSIVA'!A11</f>
        <v>ROGÉRIO</v>
      </c>
      <c r="K31" s="110">
        <f t="shared" si="7"/>
        <v>-0.30625000000000002</v>
      </c>
      <c r="L31" s="110">
        <f t="shared" si="7"/>
        <v>-0.1875</v>
      </c>
      <c r="M31" s="110">
        <f t="shared" si="7"/>
        <v>-0.16354166666666678</v>
      </c>
      <c r="N31" s="110">
        <f t="shared" si="7"/>
        <v>-0.35625000000000001</v>
      </c>
      <c r="O31" s="110">
        <f t="shared" si="7"/>
        <v>-9.791666666666661E-2</v>
      </c>
      <c r="P31" s="110">
        <f t="shared" si="7"/>
        <v>-0.28839285714285712</v>
      </c>
      <c r="R31" s="86" t="s">
        <v>28</v>
      </c>
      <c r="S31" s="110">
        <f t="shared" si="8"/>
        <v>-0.27916666666666679</v>
      </c>
      <c r="T31" s="110">
        <f t="shared" si="8"/>
        <v>-0.13540426587301582</v>
      </c>
      <c r="U31" s="110">
        <f t="shared" si="8"/>
        <v>-0.10295138888888893</v>
      </c>
    </row>
    <row r="32" spans="1:21" x14ac:dyDescent="0.3">
      <c r="A32" s="85" t="str">
        <f>'FASE OFENSIVA'!A12</f>
        <v>LUCAS SENNA</v>
      </c>
      <c r="B32" s="110">
        <f t="shared" si="6"/>
        <v>-1.03125</v>
      </c>
      <c r="C32" s="110">
        <f t="shared" si="6"/>
        <v>-1.03125</v>
      </c>
      <c r="D32" s="110">
        <f t="shared" si="6"/>
        <v>6</v>
      </c>
      <c r="E32" s="110">
        <f t="shared" si="6"/>
        <v>0</v>
      </c>
      <c r="F32" s="110">
        <f t="shared" si="6"/>
        <v>0</v>
      </c>
      <c r="G32" s="110">
        <f t="shared" si="6"/>
        <v>0</v>
      </c>
      <c r="H32" s="110">
        <f t="shared" si="6"/>
        <v>0</v>
      </c>
      <c r="I32" s="91"/>
      <c r="J32" s="85" t="str">
        <f>'FASE OFENSIVA'!A12</f>
        <v>LUCAS SENNA</v>
      </c>
      <c r="K32" s="110">
        <f t="shared" si="7"/>
        <v>-0.30625000000000002</v>
      </c>
      <c r="L32" s="110">
        <f t="shared" si="7"/>
        <v>-0.1875</v>
      </c>
      <c r="M32" s="110">
        <f t="shared" si="7"/>
        <v>-0.16354166666666678</v>
      </c>
      <c r="N32" s="110">
        <f t="shared" si="7"/>
        <v>-0.35625000000000001</v>
      </c>
      <c r="O32" s="110">
        <f t="shared" si="7"/>
        <v>-9.791666666666661E-2</v>
      </c>
      <c r="P32" s="110">
        <f t="shared" si="7"/>
        <v>-0.28839285714285712</v>
      </c>
      <c r="R32" s="85" t="s">
        <v>30</v>
      </c>
      <c r="S32" s="110">
        <f t="shared" si="8"/>
        <v>-1.3791666666666669</v>
      </c>
      <c r="T32" s="110">
        <f t="shared" si="8"/>
        <v>0.16459573412698419</v>
      </c>
      <c r="U32" s="110">
        <f t="shared" si="8"/>
        <v>-0.10295138888888893</v>
      </c>
    </row>
    <row r="33" spans="1:21" x14ac:dyDescent="0.3">
      <c r="A33" s="85" t="str">
        <f>'FASE OFENSIVA'!A13</f>
        <v>GARCIA</v>
      </c>
      <c r="B33" s="110">
        <f t="shared" si="6"/>
        <v>6.8750000000000006E-2</v>
      </c>
      <c r="C33" s="110">
        <f t="shared" si="6"/>
        <v>6.8750000000000006E-2</v>
      </c>
      <c r="D33" s="110">
        <f t="shared" si="6"/>
        <v>-0.4</v>
      </c>
      <c r="E33" s="110">
        <f t="shared" si="6"/>
        <v>0</v>
      </c>
      <c r="F33" s="110">
        <f t="shared" si="6"/>
        <v>0</v>
      </c>
      <c r="G33" s="110">
        <f t="shared" si="6"/>
        <v>0</v>
      </c>
      <c r="H33" s="110">
        <f t="shared" si="6"/>
        <v>0</v>
      </c>
      <c r="I33" s="91"/>
      <c r="J33" s="85" t="str">
        <f>'FASE OFENSIVA'!A13</f>
        <v>GARCIA</v>
      </c>
      <c r="K33" s="110">
        <f t="shared" si="7"/>
        <v>-0.30625000000000002</v>
      </c>
      <c r="L33" s="110">
        <f t="shared" si="7"/>
        <v>-0.1875</v>
      </c>
      <c r="M33" s="110">
        <f t="shared" si="7"/>
        <v>-0.16354166666666678</v>
      </c>
      <c r="N33" s="110">
        <f t="shared" si="7"/>
        <v>-0.35625000000000001</v>
      </c>
      <c r="O33" s="110">
        <f t="shared" si="7"/>
        <v>-9.791666666666661E-2</v>
      </c>
      <c r="P33" s="110">
        <f t="shared" si="7"/>
        <v>-0.28839285714285712</v>
      </c>
      <c r="R33" s="85" t="s">
        <v>33</v>
      </c>
      <c r="S33" s="110">
        <f t="shared" si="8"/>
        <v>-0.27916666666666679</v>
      </c>
      <c r="T33" s="110">
        <f t="shared" si="8"/>
        <v>-0.13540426587301582</v>
      </c>
      <c r="U33" s="110">
        <f t="shared" si="8"/>
        <v>-0.10295138888888893</v>
      </c>
    </row>
    <row r="34" spans="1:21" x14ac:dyDescent="0.3">
      <c r="A34" s="85" t="str">
        <f>'FASE OFENSIVA'!A14</f>
        <v>FOGO</v>
      </c>
      <c r="B34" s="110">
        <f t="shared" si="6"/>
        <v>6.8750000000000006E-2</v>
      </c>
      <c r="C34" s="110">
        <f t="shared" si="6"/>
        <v>6.8750000000000006E-2</v>
      </c>
      <c r="D34" s="110">
        <f t="shared" si="6"/>
        <v>-0.4</v>
      </c>
      <c r="E34" s="110">
        <f t="shared" si="6"/>
        <v>0</v>
      </c>
      <c r="F34" s="110">
        <f t="shared" si="6"/>
        <v>0</v>
      </c>
      <c r="G34" s="110">
        <f t="shared" si="6"/>
        <v>0</v>
      </c>
      <c r="H34" s="110">
        <f t="shared" si="6"/>
        <v>0</v>
      </c>
      <c r="I34" s="91"/>
      <c r="J34" s="85" t="str">
        <f>'FASE OFENSIVA'!A14</f>
        <v>FOGO</v>
      </c>
      <c r="K34" s="110">
        <f t="shared" si="7"/>
        <v>-0.30625000000000002</v>
      </c>
      <c r="L34" s="110">
        <f t="shared" si="7"/>
        <v>-0.1875</v>
      </c>
      <c r="M34" s="110">
        <f t="shared" si="7"/>
        <v>-0.16354166666666678</v>
      </c>
      <c r="N34" s="110">
        <f t="shared" si="7"/>
        <v>-0.35625000000000001</v>
      </c>
      <c r="O34" s="110">
        <f t="shared" si="7"/>
        <v>-9.791666666666661E-2</v>
      </c>
      <c r="P34" s="110">
        <f t="shared" si="7"/>
        <v>-0.28839285714285712</v>
      </c>
      <c r="R34" s="85" t="s">
        <v>34</v>
      </c>
      <c r="S34" s="110">
        <f t="shared" si="8"/>
        <v>-0.27916666666666679</v>
      </c>
      <c r="T34" s="110">
        <f t="shared" si="8"/>
        <v>-0.13540426587301582</v>
      </c>
      <c r="U34" s="110">
        <f t="shared" si="8"/>
        <v>-0.10295138888888893</v>
      </c>
    </row>
    <row r="35" spans="1:21" x14ac:dyDescent="0.3">
      <c r="A35" s="85" t="str">
        <f>'FASE OFENSIVA'!A15</f>
        <v>TITO</v>
      </c>
      <c r="B35" s="110">
        <f t="shared" ref="B35:H40" si="9">(B14-B$20)/10</f>
        <v>6.8750000000000006E-2</v>
      </c>
      <c r="C35" s="110">
        <f t="shared" si="9"/>
        <v>6.8750000000000006E-2</v>
      </c>
      <c r="D35" s="110">
        <f t="shared" si="9"/>
        <v>-0.4</v>
      </c>
      <c r="E35" s="110">
        <f t="shared" si="9"/>
        <v>0</v>
      </c>
      <c r="F35" s="110">
        <f t="shared" si="9"/>
        <v>0</v>
      </c>
      <c r="G35" s="110">
        <f t="shared" si="9"/>
        <v>0</v>
      </c>
      <c r="H35" s="110">
        <f t="shared" si="9"/>
        <v>0</v>
      </c>
      <c r="I35" s="91"/>
      <c r="J35" s="85" t="str">
        <f>'FASE OFENSIVA'!A15</f>
        <v>TITO</v>
      </c>
      <c r="K35" s="110">
        <f t="shared" ref="K35:P40" si="10">(K14-K$20)/10</f>
        <v>-0.30625000000000002</v>
      </c>
      <c r="L35" s="110">
        <f t="shared" si="10"/>
        <v>-0.1875</v>
      </c>
      <c r="M35" s="110">
        <f t="shared" si="10"/>
        <v>-0.16354166666666678</v>
      </c>
      <c r="N35" s="110">
        <f t="shared" si="10"/>
        <v>-0.35625000000000001</v>
      </c>
      <c r="O35" s="110">
        <f t="shared" si="10"/>
        <v>-9.791666666666661E-2</v>
      </c>
      <c r="P35" s="110">
        <f t="shared" si="10"/>
        <v>-0.28839285714285712</v>
      </c>
      <c r="R35" s="85" t="s">
        <v>32</v>
      </c>
      <c r="S35" s="110">
        <f t="shared" si="8"/>
        <v>-0.27916666666666679</v>
      </c>
      <c r="T35" s="110">
        <f t="shared" si="8"/>
        <v>-0.13540426587301582</v>
      </c>
      <c r="U35" s="110">
        <f t="shared" si="8"/>
        <v>-0.10295138888888893</v>
      </c>
    </row>
    <row r="36" spans="1:21" x14ac:dyDescent="0.3">
      <c r="A36" s="85" t="str">
        <f>'FASE OFENSIVA'!A16</f>
        <v>PIETRO</v>
      </c>
      <c r="B36" s="110">
        <f t="shared" si="9"/>
        <v>6.8750000000000006E-2</v>
      </c>
      <c r="C36" s="110">
        <f t="shared" si="9"/>
        <v>6.8750000000000006E-2</v>
      </c>
      <c r="D36" s="110">
        <f t="shared" si="9"/>
        <v>-0.4</v>
      </c>
      <c r="E36" s="110">
        <f t="shared" si="9"/>
        <v>0</v>
      </c>
      <c r="F36" s="110">
        <f t="shared" si="9"/>
        <v>0</v>
      </c>
      <c r="G36" s="110">
        <f t="shared" si="9"/>
        <v>0</v>
      </c>
      <c r="H36" s="110">
        <f t="shared" si="9"/>
        <v>0</v>
      </c>
      <c r="I36" s="91"/>
      <c r="J36" s="85" t="str">
        <f>'FASE OFENSIVA'!A16</f>
        <v>PIETRO</v>
      </c>
      <c r="K36" s="110">
        <f t="shared" si="10"/>
        <v>-0.30625000000000002</v>
      </c>
      <c r="L36" s="110">
        <f t="shared" si="10"/>
        <v>-0.1875</v>
      </c>
      <c r="M36" s="110">
        <f t="shared" si="10"/>
        <v>-0.16354166666666678</v>
      </c>
      <c r="N36" s="110">
        <f t="shared" si="10"/>
        <v>-0.35625000000000001</v>
      </c>
      <c r="O36" s="110">
        <f t="shared" si="10"/>
        <v>-9.791666666666661E-2</v>
      </c>
      <c r="P36" s="110">
        <f t="shared" si="10"/>
        <v>-0.28839285714285712</v>
      </c>
      <c r="R36" s="85" t="s">
        <v>44</v>
      </c>
      <c r="S36" s="110">
        <f t="shared" si="8"/>
        <v>-0.27916666666666679</v>
      </c>
      <c r="T36" s="110">
        <f t="shared" si="8"/>
        <v>-0.13540426587301582</v>
      </c>
      <c r="U36" s="110">
        <f t="shared" si="8"/>
        <v>-0.10295138888888893</v>
      </c>
    </row>
    <row r="37" spans="1:21" x14ac:dyDescent="0.3">
      <c r="A37" s="85" t="str">
        <f>'FASE OFENSIVA'!A17</f>
        <v>ALYSSON</v>
      </c>
      <c r="B37" s="110">
        <f t="shared" si="9"/>
        <v>6.8750000000000006E-2</v>
      </c>
      <c r="C37" s="110">
        <f t="shared" si="9"/>
        <v>6.8750000000000006E-2</v>
      </c>
      <c r="D37" s="110">
        <f t="shared" si="9"/>
        <v>-0.4</v>
      </c>
      <c r="E37" s="110">
        <f t="shared" si="9"/>
        <v>0</v>
      </c>
      <c r="F37" s="110">
        <f t="shared" si="9"/>
        <v>0</v>
      </c>
      <c r="G37" s="110">
        <f t="shared" si="9"/>
        <v>0</v>
      </c>
      <c r="H37" s="110">
        <f t="shared" si="9"/>
        <v>0</v>
      </c>
      <c r="I37" s="91"/>
      <c r="J37" s="85" t="str">
        <f>'FASE OFENSIVA'!A17</f>
        <v>ALYSSON</v>
      </c>
      <c r="K37" s="110">
        <f t="shared" si="10"/>
        <v>-0.30625000000000002</v>
      </c>
      <c r="L37" s="110">
        <f t="shared" si="10"/>
        <v>-0.1875</v>
      </c>
      <c r="M37" s="110">
        <f t="shared" si="10"/>
        <v>-0.16354166666666678</v>
      </c>
      <c r="N37" s="110">
        <f t="shared" si="10"/>
        <v>-0.35625000000000001</v>
      </c>
      <c r="O37" s="110">
        <f t="shared" si="10"/>
        <v>-9.791666666666661E-2</v>
      </c>
      <c r="P37" s="110">
        <f t="shared" si="10"/>
        <v>-0.28839285714285712</v>
      </c>
      <c r="R37" s="85" t="s">
        <v>36</v>
      </c>
      <c r="S37" s="110">
        <f t="shared" si="8"/>
        <v>-0.27916666666666679</v>
      </c>
      <c r="T37" s="110">
        <f t="shared" si="8"/>
        <v>-0.13540426587301582</v>
      </c>
      <c r="U37" s="110">
        <f t="shared" si="8"/>
        <v>-0.10295138888888893</v>
      </c>
    </row>
    <row r="38" spans="1:21" x14ac:dyDescent="0.3">
      <c r="A38" s="85" t="str">
        <f>'FASE OFENSIVA'!A18</f>
        <v>LÉO ELIAS</v>
      </c>
      <c r="B38" s="110">
        <f t="shared" si="9"/>
        <v>6.8750000000000006E-2</v>
      </c>
      <c r="C38" s="110">
        <f t="shared" si="9"/>
        <v>6.8750000000000006E-2</v>
      </c>
      <c r="D38" s="110">
        <f t="shared" si="9"/>
        <v>-0.4</v>
      </c>
      <c r="E38" s="110">
        <f t="shared" si="9"/>
        <v>0</v>
      </c>
      <c r="F38" s="110">
        <f t="shared" si="9"/>
        <v>0</v>
      </c>
      <c r="G38" s="110">
        <f t="shared" si="9"/>
        <v>0</v>
      </c>
      <c r="H38" s="110">
        <f t="shared" si="9"/>
        <v>0</v>
      </c>
      <c r="I38" s="91"/>
      <c r="J38" s="85" t="str">
        <f>'FASE OFENSIVA'!A18</f>
        <v>LÉO ELIAS</v>
      </c>
      <c r="K38" s="110">
        <f t="shared" si="10"/>
        <v>-0.30625000000000002</v>
      </c>
      <c r="L38" s="110">
        <f t="shared" si="10"/>
        <v>-0.1875</v>
      </c>
      <c r="M38" s="110">
        <f t="shared" si="10"/>
        <v>-0.16354166666666678</v>
      </c>
      <c r="N38" s="110">
        <f t="shared" si="10"/>
        <v>-0.35625000000000001</v>
      </c>
      <c r="O38" s="110">
        <f t="shared" si="10"/>
        <v>-9.791666666666661E-2</v>
      </c>
      <c r="P38" s="110">
        <f t="shared" si="10"/>
        <v>-0.28839285714285712</v>
      </c>
      <c r="R38" s="85" t="s">
        <v>37</v>
      </c>
      <c r="S38" s="110">
        <f t="shared" si="8"/>
        <v>-0.27916666666666679</v>
      </c>
      <c r="T38" s="110">
        <f t="shared" si="8"/>
        <v>-0.13540426587301582</v>
      </c>
      <c r="U38" s="110">
        <f t="shared" si="8"/>
        <v>-0.10295138888888893</v>
      </c>
    </row>
    <row r="39" spans="1:21" x14ac:dyDescent="0.3">
      <c r="A39" s="85" t="str">
        <f>'FASE OFENSIVA'!A19</f>
        <v>LÉO RUDEK</v>
      </c>
      <c r="B39" s="110">
        <f t="shared" si="9"/>
        <v>6.8750000000000006E-2</v>
      </c>
      <c r="C39" s="110">
        <f t="shared" si="9"/>
        <v>6.8750000000000006E-2</v>
      </c>
      <c r="D39" s="110">
        <f t="shared" si="9"/>
        <v>-0.4</v>
      </c>
      <c r="E39" s="110">
        <f t="shared" si="9"/>
        <v>0</v>
      </c>
      <c r="F39" s="110">
        <f t="shared" si="9"/>
        <v>0</v>
      </c>
      <c r="G39" s="110">
        <f t="shared" si="9"/>
        <v>0</v>
      </c>
      <c r="H39" s="110">
        <f t="shared" si="9"/>
        <v>0</v>
      </c>
      <c r="I39" s="91"/>
      <c r="J39" s="85" t="str">
        <f>'FASE OFENSIVA'!A19</f>
        <v>LÉO RUDEK</v>
      </c>
      <c r="K39" s="110">
        <f t="shared" si="10"/>
        <v>-0.30625000000000002</v>
      </c>
      <c r="L39" s="110">
        <f t="shared" si="10"/>
        <v>-0.1875</v>
      </c>
      <c r="M39" s="110">
        <f t="shared" si="10"/>
        <v>-0.16354166666666678</v>
      </c>
      <c r="N39" s="110">
        <f t="shared" si="10"/>
        <v>-0.35625000000000001</v>
      </c>
      <c r="O39" s="110">
        <f t="shared" si="10"/>
        <v>-9.791666666666661E-2</v>
      </c>
      <c r="P39" s="110">
        <f t="shared" si="10"/>
        <v>-0.28839285714285712</v>
      </c>
      <c r="R39" s="85" t="s">
        <v>35</v>
      </c>
      <c r="S39" s="110">
        <f t="shared" si="8"/>
        <v>-0.27916666666666679</v>
      </c>
      <c r="T39" s="110">
        <f t="shared" si="8"/>
        <v>-0.13540426587301582</v>
      </c>
      <c r="U39" s="110">
        <f t="shared" si="8"/>
        <v>-0.10295138888888893</v>
      </c>
    </row>
    <row r="40" spans="1:21" x14ac:dyDescent="0.3">
      <c r="A40" s="85" t="str">
        <f>'FASE OFENSIVA'!A20</f>
        <v>BAISCH</v>
      </c>
      <c r="B40" s="110">
        <f t="shared" si="9"/>
        <v>6.8750000000000006E-2</v>
      </c>
      <c r="C40" s="110">
        <f t="shared" si="9"/>
        <v>6.8750000000000006E-2</v>
      </c>
      <c r="D40" s="110">
        <f t="shared" si="9"/>
        <v>-0.4</v>
      </c>
      <c r="E40" s="110">
        <f t="shared" si="9"/>
        <v>0</v>
      </c>
      <c r="F40" s="110">
        <f t="shared" si="9"/>
        <v>0</v>
      </c>
      <c r="G40" s="110">
        <f t="shared" si="9"/>
        <v>0</v>
      </c>
      <c r="H40" s="110">
        <f t="shared" si="9"/>
        <v>0</v>
      </c>
      <c r="I40" s="91"/>
      <c r="J40" s="85" t="str">
        <f>'FASE OFENSIVA'!A20</f>
        <v>BAISCH</v>
      </c>
      <c r="K40" s="110">
        <f t="shared" si="10"/>
        <v>-0.30625000000000002</v>
      </c>
      <c r="L40" s="110">
        <f t="shared" si="10"/>
        <v>-0.1875</v>
      </c>
      <c r="M40" s="110">
        <f t="shared" si="10"/>
        <v>-0.16354166666666678</v>
      </c>
      <c r="N40" s="110">
        <f t="shared" si="10"/>
        <v>-0.35625000000000001</v>
      </c>
      <c r="O40" s="110">
        <f t="shared" si="10"/>
        <v>-9.791666666666661E-2</v>
      </c>
      <c r="P40" s="110">
        <f t="shared" si="10"/>
        <v>-0.28839285714285712</v>
      </c>
      <c r="R40" s="85" t="s">
        <v>45</v>
      </c>
      <c r="S40" s="110">
        <f t="shared" si="8"/>
        <v>-0.27916666666666679</v>
      </c>
      <c r="T40" s="110">
        <f t="shared" si="8"/>
        <v>-0.13540426587301582</v>
      </c>
      <c r="U40" s="110">
        <f t="shared" si="8"/>
        <v>-0.10295138888888893</v>
      </c>
    </row>
    <row r="42" spans="1:21" x14ac:dyDescent="0.3">
      <c r="A42" s="46"/>
      <c r="J42" s="46"/>
      <c r="R42" s="46"/>
    </row>
    <row r="44" spans="1:21" ht="15.6" x14ac:dyDescent="0.3">
      <c r="A44" s="81"/>
      <c r="B44" s="200" t="s">
        <v>131</v>
      </c>
      <c r="C44" s="201"/>
      <c r="D44" s="201"/>
      <c r="E44" s="201"/>
      <c r="F44" s="201"/>
      <c r="G44" s="201"/>
      <c r="H44" s="202"/>
      <c r="J44" s="81"/>
      <c r="K44" s="203" t="s">
        <v>135</v>
      </c>
      <c r="L44" s="204"/>
      <c r="M44" s="204"/>
      <c r="N44" s="204"/>
      <c r="O44" s="204"/>
      <c r="P44" s="205"/>
      <c r="R44" s="81"/>
      <c r="S44" s="199" t="s">
        <v>22</v>
      </c>
      <c r="T44" s="199"/>
      <c r="U44" s="199"/>
    </row>
    <row r="45" spans="1:21" x14ac:dyDescent="0.3">
      <c r="A45" s="82"/>
      <c r="B45" s="194" t="s">
        <v>139</v>
      </c>
      <c r="C45" s="195"/>
      <c r="D45" s="196"/>
      <c r="E45" s="194" t="s">
        <v>140</v>
      </c>
      <c r="F45" s="196"/>
      <c r="G45" s="87" t="s">
        <v>133</v>
      </c>
      <c r="H45" s="87" t="s">
        <v>133</v>
      </c>
      <c r="J45" s="82"/>
      <c r="K45" s="83"/>
      <c r="L45" s="83"/>
      <c r="M45" s="83"/>
      <c r="N45" s="83"/>
      <c r="O45" s="83" t="s">
        <v>133</v>
      </c>
      <c r="P45" s="83" t="s">
        <v>133</v>
      </c>
      <c r="R45" s="82"/>
      <c r="S45" s="89"/>
      <c r="T45" s="90"/>
      <c r="U45" s="89"/>
    </row>
    <row r="46" spans="1:21" x14ac:dyDescent="0.3">
      <c r="A46" s="64" t="s">
        <v>2</v>
      </c>
      <c r="B46" s="88" t="s">
        <v>0</v>
      </c>
      <c r="C46" s="88" t="s">
        <v>132</v>
      </c>
      <c r="D46" s="88" t="s">
        <v>7</v>
      </c>
      <c r="E46" s="88" t="s">
        <v>115</v>
      </c>
      <c r="F46" s="88" t="s">
        <v>116</v>
      </c>
      <c r="G46" s="88" t="s">
        <v>134</v>
      </c>
      <c r="H46" s="88" t="s">
        <v>123</v>
      </c>
      <c r="J46" s="64" t="s">
        <v>2</v>
      </c>
      <c r="K46" s="84" t="s">
        <v>18</v>
      </c>
      <c r="L46" s="84" t="s">
        <v>136</v>
      </c>
      <c r="M46" s="84" t="s">
        <v>137</v>
      </c>
      <c r="N46" s="84" t="s">
        <v>138</v>
      </c>
      <c r="O46" s="84" t="s">
        <v>134</v>
      </c>
      <c r="P46" s="84" t="s">
        <v>123</v>
      </c>
      <c r="R46" s="64" t="s">
        <v>2</v>
      </c>
      <c r="S46" s="89" t="s">
        <v>151</v>
      </c>
      <c r="T46" s="90" t="s">
        <v>22</v>
      </c>
      <c r="U46" s="89" t="s">
        <v>152</v>
      </c>
    </row>
    <row r="47" spans="1:21" x14ac:dyDescent="0.3">
      <c r="A47" s="85" t="str">
        <f>'FASE OFENSIVA'!A5</f>
        <v>MATEUS</v>
      </c>
      <c r="B47" s="95">
        <f>B25-B$20</f>
        <v>-10.24375</v>
      </c>
      <c r="C47" s="95">
        <f>C25-C$20</f>
        <v>-10.24375</v>
      </c>
      <c r="D47" s="95">
        <f t="shared" ref="D47:H47" si="11">D25-D$20</f>
        <v>-15.4</v>
      </c>
      <c r="E47" s="95">
        <f t="shared" si="11"/>
        <v>-11</v>
      </c>
      <c r="F47" s="95">
        <f t="shared" si="11"/>
        <v>-11</v>
      </c>
      <c r="G47" s="95">
        <f t="shared" si="11"/>
        <v>-11</v>
      </c>
      <c r="H47" s="95">
        <f t="shared" si="11"/>
        <v>-11</v>
      </c>
      <c r="I47" s="91"/>
      <c r="J47" s="85" t="str">
        <f>'FASE OFENSIVA'!A5</f>
        <v>MATEUS</v>
      </c>
      <c r="K47" s="95">
        <f>K25-K$20</f>
        <v>-9.46875</v>
      </c>
      <c r="L47" s="95">
        <f>L25-L$20</f>
        <v>-10.0625</v>
      </c>
      <c r="M47" s="95">
        <f t="shared" ref="M47:P47" si="12">M25-M$20</f>
        <v>-10.182291666666668</v>
      </c>
      <c r="N47" s="95">
        <f t="shared" si="12"/>
        <v>-9.21875</v>
      </c>
      <c r="O47" s="95">
        <f t="shared" si="12"/>
        <v>-10.510416666666666</v>
      </c>
      <c r="P47" s="95">
        <f t="shared" si="12"/>
        <v>-9.5580357142857135</v>
      </c>
      <c r="Q47" s="92"/>
      <c r="R47" s="85" t="s">
        <v>25</v>
      </c>
      <c r="S47" s="95">
        <f>S25-S$20</f>
        <v>-8.5041666666666682</v>
      </c>
      <c r="T47" s="95">
        <f>T25-T$20</f>
        <v>-10.62297867063492</v>
      </c>
      <c r="U47" s="95">
        <f t="shared" ref="U47" si="13">U25-U$20</f>
        <v>-10.485243055555555</v>
      </c>
    </row>
    <row r="48" spans="1:21" x14ac:dyDescent="0.3">
      <c r="A48" s="85" t="str">
        <f>'FASE OFENSIVA'!A6</f>
        <v>RAFINHA</v>
      </c>
      <c r="B48" s="95">
        <f t="shared" ref="B48:H48" si="14">B26-B$20</f>
        <v>-10.24375</v>
      </c>
      <c r="C48" s="95">
        <f t="shared" si="14"/>
        <v>-10.24375</v>
      </c>
      <c r="D48" s="95">
        <f t="shared" si="14"/>
        <v>-15.4</v>
      </c>
      <c r="E48" s="95">
        <f t="shared" si="14"/>
        <v>-11</v>
      </c>
      <c r="F48" s="95">
        <f t="shared" si="14"/>
        <v>-11</v>
      </c>
      <c r="G48" s="95">
        <f t="shared" si="14"/>
        <v>-11</v>
      </c>
      <c r="H48" s="95">
        <f t="shared" si="14"/>
        <v>-11</v>
      </c>
      <c r="I48" s="91"/>
      <c r="J48" s="85" t="str">
        <f>'FASE OFENSIVA'!A6</f>
        <v>RAFINHA</v>
      </c>
      <c r="K48" s="95">
        <f t="shared" ref="K48:P48" si="15">K26-K$20</f>
        <v>-14.36875</v>
      </c>
      <c r="L48" s="95">
        <f t="shared" si="15"/>
        <v>-13.0625</v>
      </c>
      <c r="M48" s="95">
        <f t="shared" si="15"/>
        <v>-12.798958333333335</v>
      </c>
      <c r="N48" s="95">
        <f t="shared" si="15"/>
        <v>-14.918749999999999</v>
      </c>
      <c r="O48" s="95">
        <f t="shared" si="15"/>
        <v>-12.077083333333333</v>
      </c>
      <c r="P48" s="95">
        <f t="shared" si="15"/>
        <v>-14.172321428571429</v>
      </c>
      <c r="Q48" s="92"/>
      <c r="R48" s="86" t="s">
        <v>26</v>
      </c>
      <c r="S48" s="95">
        <f t="shared" ref="S48:U48" si="16">S26-S$20</f>
        <v>-14.070833333333335</v>
      </c>
      <c r="T48" s="95">
        <f t="shared" si="16"/>
        <v>-12.489446924603174</v>
      </c>
      <c r="U48" s="95">
        <f t="shared" si="16"/>
        <v>-12.132465277777778</v>
      </c>
    </row>
    <row r="49" spans="1:21" x14ac:dyDescent="0.3">
      <c r="A49" s="85" t="str">
        <f>'FASE OFENSIVA'!A7</f>
        <v>TARIQ</v>
      </c>
      <c r="B49" s="95">
        <f t="shared" ref="B49:H49" si="17">B27-B$20</f>
        <v>-10.24375</v>
      </c>
      <c r="C49" s="95">
        <f t="shared" si="17"/>
        <v>-10.24375</v>
      </c>
      <c r="D49" s="95">
        <f t="shared" si="17"/>
        <v>-15.4</v>
      </c>
      <c r="E49" s="95">
        <f t="shared" si="17"/>
        <v>-11</v>
      </c>
      <c r="F49" s="95">
        <f t="shared" si="17"/>
        <v>-11</v>
      </c>
      <c r="G49" s="95">
        <f t="shared" si="17"/>
        <v>-11</v>
      </c>
      <c r="H49" s="95">
        <f t="shared" si="17"/>
        <v>-11</v>
      </c>
      <c r="I49" s="91"/>
      <c r="J49" s="85" t="str">
        <f>'FASE OFENSIVA'!A7</f>
        <v>TARIQ</v>
      </c>
      <c r="K49" s="95">
        <f t="shared" ref="K49:P49" si="18">K27-K$20</f>
        <v>-14.36875</v>
      </c>
      <c r="L49" s="95">
        <f t="shared" si="18"/>
        <v>-13.0625</v>
      </c>
      <c r="M49" s="95">
        <f t="shared" si="18"/>
        <v>-12.798958333333335</v>
      </c>
      <c r="N49" s="95">
        <f t="shared" si="18"/>
        <v>-14.918749999999999</v>
      </c>
      <c r="O49" s="95">
        <f t="shared" si="18"/>
        <v>-12.077083333333333</v>
      </c>
      <c r="P49" s="95">
        <f t="shared" si="18"/>
        <v>-14.172321428571429</v>
      </c>
      <c r="Q49" s="92"/>
      <c r="R49" s="86" t="s">
        <v>24</v>
      </c>
      <c r="S49" s="95">
        <f t="shared" ref="S49:U49" si="19">S27-S$20</f>
        <v>-14.070833333333335</v>
      </c>
      <c r="T49" s="95">
        <f t="shared" si="19"/>
        <v>-12.489446924603174</v>
      </c>
      <c r="U49" s="95">
        <f t="shared" si="19"/>
        <v>-12.132465277777778</v>
      </c>
    </row>
    <row r="50" spans="1:21" x14ac:dyDescent="0.3">
      <c r="A50" s="85" t="str">
        <f>'FASE OFENSIVA'!A8</f>
        <v>TETEU</v>
      </c>
      <c r="B50" s="95">
        <f t="shared" ref="B50:H50" si="20">B28-B$20</f>
        <v>-10.24375</v>
      </c>
      <c r="C50" s="95">
        <f t="shared" si="20"/>
        <v>-10.24375</v>
      </c>
      <c r="D50" s="95">
        <f t="shared" si="20"/>
        <v>-15.4</v>
      </c>
      <c r="E50" s="95">
        <f t="shared" si="20"/>
        <v>-11</v>
      </c>
      <c r="F50" s="95">
        <f t="shared" si="20"/>
        <v>-11</v>
      </c>
      <c r="G50" s="95">
        <f t="shared" si="20"/>
        <v>-11</v>
      </c>
      <c r="H50" s="95">
        <f t="shared" si="20"/>
        <v>-11</v>
      </c>
      <c r="I50" s="91"/>
      <c r="J50" s="85" t="str">
        <f>'FASE OFENSIVA'!A8</f>
        <v>TETEU</v>
      </c>
      <c r="K50" s="95">
        <f t="shared" ref="K50:P50" si="21">K28-K$20</f>
        <v>-14.36875</v>
      </c>
      <c r="L50" s="95">
        <f t="shared" si="21"/>
        <v>-13.0625</v>
      </c>
      <c r="M50" s="95">
        <f t="shared" si="21"/>
        <v>-12.798958333333335</v>
      </c>
      <c r="N50" s="95">
        <f t="shared" si="21"/>
        <v>-14.918749999999999</v>
      </c>
      <c r="O50" s="95">
        <f t="shared" si="21"/>
        <v>-12.077083333333333</v>
      </c>
      <c r="P50" s="95">
        <f t="shared" si="21"/>
        <v>-14.172321428571429</v>
      </c>
      <c r="Q50" s="92"/>
      <c r="R50" s="86" t="s">
        <v>27</v>
      </c>
      <c r="S50" s="95">
        <f t="shared" ref="S50:U50" si="22">S28-S$20</f>
        <v>-14.070833333333335</v>
      </c>
      <c r="T50" s="95">
        <f t="shared" si="22"/>
        <v>-12.489446924603174</v>
      </c>
      <c r="U50" s="95">
        <f t="shared" si="22"/>
        <v>-12.132465277777778</v>
      </c>
    </row>
    <row r="51" spans="1:21" x14ac:dyDescent="0.3">
      <c r="A51" s="85" t="str">
        <f>'FASE OFENSIVA'!A9</f>
        <v>LORENZO</v>
      </c>
      <c r="B51" s="95">
        <f t="shared" ref="B51:H51" si="23">B29-B$20</f>
        <v>-10.24375</v>
      </c>
      <c r="C51" s="95">
        <f t="shared" si="23"/>
        <v>-10.24375</v>
      </c>
      <c r="D51" s="95">
        <f t="shared" si="23"/>
        <v>-15.4</v>
      </c>
      <c r="E51" s="95">
        <f t="shared" si="23"/>
        <v>-11</v>
      </c>
      <c r="F51" s="95">
        <f t="shared" si="23"/>
        <v>-11</v>
      </c>
      <c r="G51" s="95">
        <f t="shared" si="23"/>
        <v>-11</v>
      </c>
      <c r="H51" s="95">
        <f t="shared" si="23"/>
        <v>-11</v>
      </c>
      <c r="I51" s="91"/>
      <c r="J51" s="85" t="str">
        <f>'FASE OFENSIVA'!A9</f>
        <v>LORENZO</v>
      </c>
      <c r="K51" s="95">
        <f t="shared" ref="K51:P51" si="24">K29-K$20</f>
        <v>-14.36875</v>
      </c>
      <c r="L51" s="95">
        <f t="shared" si="24"/>
        <v>-13.0625</v>
      </c>
      <c r="M51" s="95">
        <f t="shared" si="24"/>
        <v>-12.798958333333335</v>
      </c>
      <c r="N51" s="95">
        <f t="shared" si="24"/>
        <v>-14.918749999999999</v>
      </c>
      <c r="O51" s="95">
        <f t="shared" si="24"/>
        <v>-12.077083333333333</v>
      </c>
      <c r="P51" s="95">
        <f t="shared" si="24"/>
        <v>-14.172321428571429</v>
      </c>
      <c r="Q51" s="92"/>
      <c r="R51" s="85" t="s">
        <v>31</v>
      </c>
      <c r="S51" s="95">
        <f t="shared" ref="S51:U51" si="25">S29-S$20</f>
        <v>-14.070833333333335</v>
      </c>
      <c r="T51" s="95">
        <f t="shared" si="25"/>
        <v>-12.489446924603174</v>
      </c>
      <c r="U51" s="95">
        <f t="shared" si="25"/>
        <v>-12.132465277777778</v>
      </c>
    </row>
    <row r="52" spans="1:21" x14ac:dyDescent="0.3">
      <c r="A52" s="85" t="str">
        <f>'FASE OFENSIVA'!A10</f>
        <v>PEPO</v>
      </c>
      <c r="B52" s="95">
        <f t="shared" ref="B52:H52" si="26">B30-B$20</f>
        <v>-10.24375</v>
      </c>
      <c r="C52" s="95">
        <f t="shared" si="26"/>
        <v>-10.24375</v>
      </c>
      <c r="D52" s="95">
        <f t="shared" si="26"/>
        <v>-15.4</v>
      </c>
      <c r="E52" s="95">
        <f t="shared" si="26"/>
        <v>-11</v>
      </c>
      <c r="F52" s="95">
        <f t="shared" si="26"/>
        <v>-11</v>
      </c>
      <c r="G52" s="95">
        <f t="shared" si="26"/>
        <v>-11</v>
      </c>
      <c r="H52" s="95">
        <f t="shared" si="26"/>
        <v>-11</v>
      </c>
      <c r="I52" s="91"/>
      <c r="J52" s="85" t="str">
        <f>'FASE OFENSIVA'!A10</f>
        <v>PEPO</v>
      </c>
      <c r="K52" s="95">
        <f t="shared" ref="K52:P52" si="27">K30-K$20</f>
        <v>-14.36875</v>
      </c>
      <c r="L52" s="95">
        <f t="shared" si="27"/>
        <v>-13.0625</v>
      </c>
      <c r="M52" s="95">
        <f t="shared" si="27"/>
        <v>-12.798958333333335</v>
      </c>
      <c r="N52" s="95">
        <f t="shared" si="27"/>
        <v>-14.918749999999999</v>
      </c>
      <c r="O52" s="95">
        <f t="shared" si="27"/>
        <v>-12.077083333333333</v>
      </c>
      <c r="P52" s="95">
        <f t="shared" si="27"/>
        <v>-14.172321428571429</v>
      </c>
      <c r="Q52" s="92"/>
      <c r="R52" s="85" t="s">
        <v>29</v>
      </c>
      <c r="S52" s="95">
        <f t="shared" ref="S52:U52" si="28">S30-S$20</f>
        <v>-14.070833333333335</v>
      </c>
      <c r="T52" s="95">
        <f t="shared" si="28"/>
        <v>-12.489446924603174</v>
      </c>
      <c r="U52" s="95">
        <f t="shared" si="28"/>
        <v>-12.132465277777778</v>
      </c>
    </row>
    <row r="53" spans="1:21" x14ac:dyDescent="0.3">
      <c r="A53" s="85" t="str">
        <f>'FASE OFENSIVA'!A11</f>
        <v>ROGÉRIO</v>
      </c>
      <c r="B53" s="95">
        <f t="shared" ref="B53:H53" si="29">B31-B$20</f>
        <v>-10.24375</v>
      </c>
      <c r="C53" s="95">
        <f t="shared" si="29"/>
        <v>-10.24375</v>
      </c>
      <c r="D53" s="95">
        <f t="shared" si="29"/>
        <v>-15.4</v>
      </c>
      <c r="E53" s="95">
        <f t="shared" si="29"/>
        <v>-11</v>
      </c>
      <c r="F53" s="95">
        <f t="shared" si="29"/>
        <v>-11</v>
      </c>
      <c r="G53" s="95">
        <f t="shared" si="29"/>
        <v>-11</v>
      </c>
      <c r="H53" s="95">
        <f t="shared" si="29"/>
        <v>-11</v>
      </c>
      <c r="I53" s="91"/>
      <c r="J53" s="85" t="str">
        <f>'FASE OFENSIVA'!A11</f>
        <v>ROGÉRIO</v>
      </c>
      <c r="K53" s="95">
        <f t="shared" ref="K53:P53" si="30">K31-K$20</f>
        <v>-14.36875</v>
      </c>
      <c r="L53" s="95">
        <f t="shared" si="30"/>
        <v>-13.0625</v>
      </c>
      <c r="M53" s="95">
        <f t="shared" si="30"/>
        <v>-12.798958333333335</v>
      </c>
      <c r="N53" s="95">
        <f t="shared" si="30"/>
        <v>-14.918749999999999</v>
      </c>
      <c r="O53" s="95">
        <f t="shared" si="30"/>
        <v>-12.077083333333333</v>
      </c>
      <c r="P53" s="95">
        <f t="shared" si="30"/>
        <v>-14.172321428571429</v>
      </c>
      <c r="Q53" s="92"/>
      <c r="R53" s="86" t="s">
        <v>28</v>
      </c>
      <c r="S53" s="95">
        <f t="shared" ref="S53:U53" si="31">S31-S$20</f>
        <v>-14.070833333333335</v>
      </c>
      <c r="T53" s="95">
        <f t="shared" si="31"/>
        <v>-12.489446924603174</v>
      </c>
      <c r="U53" s="95">
        <f t="shared" si="31"/>
        <v>-12.132465277777778</v>
      </c>
    </row>
    <row r="54" spans="1:21" x14ac:dyDescent="0.3">
      <c r="A54" s="85" t="str">
        <f>'FASE OFENSIVA'!A12</f>
        <v>LUCAS SENNA</v>
      </c>
      <c r="B54" s="95">
        <f t="shared" ref="B54:H54" si="32">B32-B$20</f>
        <v>-11.34375</v>
      </c>
      <c r="C54" s="95">
        <f t="shared" si="32"/>
        <v>-11.34375</v>
      </c>
      <c r="D54" s="95">
        <f t="shared" si="32"/>
        <v>-9</v>
      </c>
      <c r="E54" s="95">
        <f t="shared" si="32"/>
        <v>-11</v>
      </c>
      <c r="F54" s="95">
        <f t="shared" si="32"/>
        <v>-11</v>
      </c>
      <c r="G54" s="95">
        <f t="shared" si="32"/>
        <v>-11</v>
      </c>
      <c r="H54" s="95">
        <f t="shared" si="32"/>
        <v>-11</v>
      </c>
      <c r="I54" s="91"/>
      <c r="J54" s="85" t="str">
        <f>'FASE OFENSIVA'!A12</f>
        <v>LUCAS SENNA</v>
      </c>
      <c r="K54" s="95">
        <f t="shared" ref="K54:P54" si="33">K32-K$20</f>
        <v>-14.36875</v>
      </c>
      <c r="L54" s="95">
        <f t="shared" si="33"/>
        <v>-13.0625</v>
      </c>
      <c r="M54" s="95">
        <f t="shared" si="33"/>
        <v>-12.798958333333335</v>
      </c>
      <c r="N54" s="95">
        <f t="shared" si="33"/>
        <v>-14.918749999999999</v>
      </c>
      <c r="O54" s="95">
        <f t="shared" si="33"/>
        <v>-12.077083333333333</v>
      </c>
      <c r="P54" s="95">
        <f t="shared" si="33"/>
        <v>-14.172321428571429</v>
      </c>
      <c r="Q54" s="92"/>
      <c r="R54" s="85" t="s">
        <v>30</v>
      </c>
      <c r="S54" s="95">
        <f t="shared" ref="S54:U54" si="34">S32-S$20</f>
        <v>-15.170833333333334</v>
      </c>
      <c r="T54" s="95">
        <f t="shared" si="34"/>
        <v>-12.189446924603175</v>
      </c>
      <c r="U54" s="95">
        <f t="shared" si="34"/>
        <v>-12.132465277777778</v>
      </c>
    </row>
    <row r="55" spans="1:21" x14ac:dyDescent="0.3">
      <c r="A55" s="85" t="str">
        <f>'FASE OFENSIVA'!A13</f>
        <v>GARCIA</v>
      </c>
      <c r="B55" s="95">
        <f t="shared" ref="B55:H55" si="35">B33-B$20</f>
        <v>-10.24375</v>
      </c>
      <c r="C55" s="95">
        <f t="shared" si="35"/>
        <v>-10.24375</v>
      </c>
      <c r="D55" s="95">
        <f t="shared" si="35"/>
        <v>-15.4</v>
      </c>
      <c r="E55" s="95">
        <f t="shared" si="35"/>
        <v>-11</v>
      </c>
      <c r="F55" s="95">
        <f t="shared" si="35"/>
        <v>-11</v>
      </c>
      <c r="G55" s="95">
        <f t="shared" si="35"/>
        <v>-11</v>
      </c>
      <c r="H55" s="95">
        <f t="shared" si="35"/>
        <v>-11</v>
      </c>
      <c r="I55" s="91"/>
      <c r="J55" s="85" t="str">
        <f>'FASE OFENSIVA'!A13</f>
        <v>GARCIA</v>
      </c>
      <c r="K55" s="95">
        <f t="shared" ref="K55:P55" si="36">K33-K$20</f>
        <v>-14.36875</v>
      </c>
      <c r="L55" s="95">
        <f t="shared" si="36"/>
        <v>-13.0625</v>
      </c>
      <c r="M55" s="95">
        <f t="shared" si="36"/>
        <v>-12.798958333333335</v>
      </c>
      <c r="N55" s="95">
        <f t="shared" si="36"/>
        <v>-14.918749999999999</v>
      </c>
      <c r="O55" s="95">
        <f t="shared" si="36"/>
        <v>-12.077083333333333</v>
      </c>
      <c r="P55" s="95">
        <f t="shared" si="36"/>
        <v>-14.172321428571429</v>
      </c>
      <c r="Q55" s="92"/>
      <c r="R55" s="85" t="s">
        <v>33</v>
      </c>
      <c r="S55" s="95">
        <f t="shared" ref="S55:U55" si="37">S33-S$20</f>
        <v>-14.070833333333335</v>
      </c>
      <c r="T55" s="95">
        <f t="shared" si="37"/>
        <v>-12.489446924603174</v>
      </c>
      <c r="U55" s="95">
        <f t="shared" si="37"/>
        <v>-12.132465277777778</v>
      </c>
    </row>
    <row r="56" spans="1:21" x14ac:dyDescent="0.3">
      <c r="A56" s="85" t="str">
        <f>'FASE OFENSIVA'!A14</f>
        <v>FOGO</v>
      </c>
      <c r="B56" s="95">
        <f t="shared" ref="B56:H56" si="38">B34-B$20</f>
        <v>-10.24375</v>
      </c>
      <c r="C56" s="95">
        <f t="shared" si="38"/>
        <v>-10.24375</v>
      </c>
      <c r="D56" s="95">
        <f t="shared" si="38"/>
        <v>-15.4</v>
      </c>
      <c r="E56" s="95">
        <f t="shared" si="38"/>
        <v>-11</v>
      </c>
      <c r="F56" s="95">
        <f t="shared" si="38"/>
        <v>-11</v>
      </c>
      <c r="G56" s="95">
        <f t="shared" si="38"/>
        <v>-11</v>
      </c>
      <c r="H56" s="95">
        <f t="shared" si="38"/>
        <v>-11</v>
      </c>
      <c r="I56" s="91"/>
      <c r="J56" s="85" t="str">
        <f>'FASE OFENSIVA'!A14</f>
        <v>FOGO</v>
      </c>
      <c r="K56" s="95">
        <f t="shared" ref="K56:P56" si="39">K34-K$20</f>
        <v>-14.36875</v>
      </c>
      <c r="L56" s="95">
        <f t="shared" si="39"/>
        <v>-13.0625</v>
      </c>
      <c r="M56" s="95">
        <f t="shared" si="39"/>
        <v>-12.798958333333335</v>
      </c>
      <c r="N56" s="95">
        <f t="shared" si="39"/>
        <v>-14.918749999999999</v>
      </c>
      <c r="O56" s="95">
        <f t="shared" si="39"/>
        <v>-12.077083333333333</v>
      </c>
      <c r="P56" s="95">
        <f t="shared" si="39"/>
        <v>-14.172321428571429</v>
      </c>
      <c r="Q56" s="92"/>
      <c r="R56" s="85" t="s">
        <v>34</v>
      </c>
      <c r="S56" s="95">
        <f t="shared" ref="S56:U56" si="40">S34-S$20</f>
        <v>-14.070833333333335</v>
      </c>
      <c r="T56" s="95">
        <f t="shared" si="40"/>
        <v>-12.489446924603174</v>
      </c>
      <c r="U56" s="95">
        <f t="shared" si="40"/>
        <v>-12.132465277777778</v>
      </c>
    </row>
    <row r="57" spans="1:21" x14ac:dyDescent="0.3">
      <c r="A57" s="85" t="str">
        <f>'FASE OFENSIVA'!A15</f>
        <v>TITO</v>
      </c>
      <c r="B57" s="95">
        <f t="shared" ref="B57:H57" si="41">B35-B$20</f>
        <v>-10.24375</v>
      </c>
      <c r="C57" s="95">
        <f t="shared" si="41"/>
        <v>-10.24375</v>
      </c>
      <c r="D57" s="95">
        <f t="shared" si="41"/>
        <v>-15.4</v>
      </c>
      <c r="E57" s="95">
        <f t="shared" si="41"/>
        <v>-11</v>
      </c>
      <c r="F57" s="95">
        <f t="shared" si="41"/>
        <v>-11</v>
      </c>
      <c r="G57" s="95">
        <f t="shared" si="41"/>
        <v>-11</v>
      </c>
      <c r="H57" s="95">
        <f t="shared" si="41"/>
        <v>-11</v>
      </c>
      <c r="I57" s="91"/>
      <c r="J57" s="85" t="str">
        <f>'FASE OFENSIVA'!A15</f>
        <v>TITO</v>
      </c>
      <c r="K57" s="95">
        <f t="shared" ref="K57:P57" si="42">K35-K$20</f>
        <v>-14.36875</v>
      </c>
      <c r="L57" s="95">
        <f t="shared" si="42"/>
        <v>-13.0625</v>
      </c>
      <c r="M57" s="95">
        <f t="shared" si="42"/>
        <v>-12.798958333333335</v>
      </c>
      <c r="N57" s="95">
        <f t="shared" si="42"/>
        <v>-14.918749999999999</v>
      </c>
      <c r="O57" s="95">
        <f t="shared" si="42"/>
        <v>-12.077083333333333</v>
      </c>
      <c r="P57" s="95">
        <f t="shared" si="42"/>
        <v>-14.172321428571429</v>
      </c>
      <c r="Q57" s="92"/>
      <c r="R57" s="85" t="s">
        <v>32</v>
      </c>
      <c r="S57" s="95">
        <f t="shared" ref="S57:U57" si="43">S35-S$20</f>
        <v>-14.070833333333335</v>
      </c>
      <c r="T57" s="95">
        <f t="shared" si="43"/>
        <v>-12.489446924603174</v>
      </c>
      <c r="U57" s="95">
        <f t="shared" si="43"/>
        <v>-12.132465277777778</v>
      </c>
    </row>
    <row r="58" spans="1:21" x14ac:dyDescent="0.3">
      <c r="A58" s="85" t="str">
        <f>'FASE OFENSIVA'!A16</f>
        <v>PIETRO</v>
      </c>
      <c r="B58" s="95">
        <f t="shared" ref="B58:H58" si="44">B36-B$20</f>
        <v>-10.24375</v>
      </c>
      <c r="C58" s="95">
        <f t="shared" si="44"/>
        <v>-10.24375</v>
      </c>
      <c r="D58" s="95">
        <f t="shared" si="44"/>
        <v>-15.4</v>
      </c>
      <c r="E58" s="95">
        <f t="shared" si="44"/>
        <v>-11</v>
      </c>
      <c r="F58" s="95">
        <f t="shared" si="44"/>
        <v>-11</v>
      </c>
      <c r="G58" s="95">
        <f t="shared" si="44"/>
        <v>-11</v>
      </c>
      <c r="H58" s="95">
        <f t="shared" si="44"/>
        <v>-11</v>
      </c>
      <c r="I58" s="91"/>
      <c r="J58" s="85" t="str">
        <f>'FASE OFENSIVA'!A16</f>
        <v>PIETRO</v>
      </c>
      <c r="K58" s="95">
        <f t="shared" ref="K58:P58" si="45">K36-K$20</f>
        <v>-14.36875</v>
      </c>
      <c r="L58" s="95">
        <f t="shared" si="45"/>
        <v>-13.0625</v>
      </c>
      <c r="M58" s="95">
        <f t="shared" si="45"/>
        <v>-12.798958333333335</v>
      </c>
      <c r="N58" s="95">
        <f t="shared" si="45"/>
        <v>-14.918749999999999</v>
      </c>
      <c r="O58" s="95">
        <f t="shared" si="45"/>
        <v>-12.077083333333333</v>
      </c>
      <c r="P58" s="95">
        <f t="shared" si="45"/>
        <v>-14.172321428571429</v>
      </c>
      <c r="Q58" s="92"/>
      <c r="R58" s="85" t="s">
        <v>44</v>
      </c>
      <c r="S58" s="95">
        <f t="shared" ref="S58:U58" si="46">S36-S$20</f>
        <v>-14.070833333333335</v>
      </c>
      <c r="T58" s="95">
        <f t="shared" si="46"/>
        <v>-12.489446924603174</v>
      </c>
      <c r="U58" s="95">
        <f t="shared" si="46"/>
        <v>-12.132465277777778</v>
      </c>
    </row>
    <row r="59" spans="1:21" x14ac:dyDescent="0.3">
      <c r="A59" s="85" t="str">
        <f>'FASE OFENSIVA'!A17</f>
        <v>ALYSSON</v>
      </c>
      <c r="B59" s="95">
        <f t="shared" ref="B59:H59" si="47">B37-B$20</f>
        <v>-10.24375</v>
      </c>
      <c r="C59" s="95">
        <f t="shared" si="47"/>
        <v>-10.24375</v>
      </c>
      <c r="D59" s="95">
        <f t="shared" si="47"/>
        <v>-15.4</v>
      </c>
      <c r="E59" s="95">
        <f t="shared" si="47"/>
        <v>-11</v>
      </c>
      <c r="F59" s="95">
        <f t="shared" si="47"/>
        <v>-11</v>
      </c>
      <c r="G59" s="95">
        <f t="shared" si="47"/>
        <v>-11</v>
      </c>
      <c r="H59" s="95">
        <f t="shared" si="47"/>
        <v>-11</v>
      </c>
      <c r="I59" s="91"/>
      <c r="J59" s="85" t="str">
        <f>'FASE OFENSIVA'!A17</f>
        <v>ALYSSON</v>
      </c>
      <c r="K59" s="95">
        <f t="shared" ref="K59:P59" si="48">K37-K$20</f>
        <v>-14.36875</v>
      </c>
      <c r="L59" s="95">
        <f t="shared" si="48"/>
        <v>-13.0625</v>
      </c>
      <c r="M59" s="95">
        <f t="shared" si="48"/>
        <v>-12.798958333333335</v>
      </c>
      <c r="N59" s="95">
        <f t="shared" si="48"/>
        <v>-14.918749999999999</v>
      </c>
      <c r="O59" s="95">
        <f t="shared" si="48"/>
        <v>-12.077083333333333</v>
      </c>
      <c r="P59" s="95">
        <f t="shared" si="48"/>
        <v>-14.172321428571429</v>
      </c>
      <c r="Q59" s="92"/>
      <c r="R59" s="85" t="s">
        <v>36</v>
      </c>
      <c r="S59" s="95">
        <f t="shared" ref="S59:U59" si="49">S37-S$20</f>
        <v>-14.070833333333335</v>
      </c>
      <c r="T59" s="95">
        <f t="shared" si="49"/>
        <v>-12.489446924603174</v>
      </c>
      <c r="U59" s="95">
        <f t="shared" si="49"/>
        <v>-12.132465277777778</v>
      </c>
    </row>
    <row r="60" spans="1:21" x14ac:dyDescent="0.3">
      <c r="A60" s="85" t="str">
        <f>'FASE OFENSIVA'!A18</f>
        <v>LÉO ELIAS</v>
      </c>
      <c r="B60" s="95">
        <f t="shared" ref="B60:H60" si="50">B38-B$20</f>
        <v>-10.24375</v>
      </c>
      <c r="C60" s="95">
        <f t="shared" si="50"/>
        <v>-10.24375</v>
      </c>
      <c r="D60" s="95">
        <f t="shared" si="50"/>
        <v>-15.4</v>
      </c>
      <c r="E60" s="95">
        <f t="shared" si="50"/>
        <v>-11</v>
      </c>
      <c r="F60" s="95">
        <f t="shared" si="50"/>
        <v>-11</v>
      </c>
      <c r="G60" s="95">
        <f t="shared" si="50"/>
        <v>-11</v>
      </c>
      <c r="H60" s="95">
        <f t="shared" si="50"/>
        <v>-11</v>
      </c>
      <c r="I60" s="91"/>
      <c r="J60" s="85" t="str">
        <f>'FASE OFENSIVA'!A18</f>
        <v>LÉO ELIAS</v>
      </c>
      <c r="K60" s="95">
        <f t="shared" ref="K60:P60" si="51">K38-K$20</f>
        <v>-14.36875</v>
      </c>
      <c r="L60" s="95">
        <f t="shared" si="51"/>
        <v>-13.0625</v>
      </c>
      <c r="M60" s="95">
        <f t="shared" si="51"/>
        <v>-12.798958333333335</v>
      </c>
      <c r="N60" s="95">
        <f t="shared" si="51"/>
        <v>-14.918749999999999</v>
      </c>
      <c r="O60" s="95">
        <f t="shared" si="51"/>
        <v>-12.077083333333333</v>
      </c>
      <c r="P60" s="95">
        <f t="shared" si="51"/>
        <v>-14.172321428571429</v>
      </c>
      <c r="Q60" s="92"/>
      <c r="R60" s="85" t="s">
        <v>37</v>
      </c>
      <c r="S60" s="95">
        <f t="shared" ref="S60:U60" si="52">S38-S$20</f>
        <v>-14.070833333333335</v>
      </c>
      <c r="T60" s="95">
        <f t="shared" si="52"/>
        <v>-12.489446924603174</v>
      </c>
      <c r="U60" s="95">
        <f t="shared" si="52"/>
        <v>-12.132465277777778</v>
      </c>
    </row>
    <row r="61" spans="1:21" x14ac:dyDescent="0.3">
      <c r="A61" s="85" t="str">
        <f>'FASE OFENSIVA'!A19</f>
        <v>LÉO RUDEK</v>
      </c>
      <c r="B61" s="95">
        <f t="shared" ref="B61:H61" si="53">B39-B$20</f>
        <v>-10.24375</v>
      </c>
      <c r="C61" s="95">
        <f t="shared" si="53"/>
        <v>-10.24375</v>
      </c>
      <c r="D61" s="95">
        <f t="shared" si="53"/>
        <v>-15.4</v>
      </c>
      <c r="E61" s="95">
        <f t="shared" si="53"/>
        <v>-11</v>
      </c>
      <c r="F61" s="95">
        <f t="shared" si="53"/>
        <v>-11</v>
      </c>
      <c r="G61" s="95">
        <f t="shared" si="53"/>
        <v>-11</v>
      </c>
      <c r="H61" s="95">
        <f t="shared" si="53"/>
        <v>-11</v>
      </c>
      <c r="I61" s="91"/>
      <c r="J61" s="85" t="str">
        <f>'FASE OFENSIVA'!A19</f>
        <v>LÉO RUDEK</v>
      </c>
      <c r="K61" s="95">
        <f t="shared" ref="K61:P61" si="54">K39-K$20</f>
        <v>-14.36875</v>
      </c>
      <c r="L61" s="95">
        <f t="shared" si="54"/>
        <v>-13.0625</v>
      </c>
      <c r="M61" s="95">
        <f t="shared" si="54"/>
        <v>-12.798958333333335</v>
      </c>
      <c r="N61" s="95">
        <f t="shared" si="54"/>
        <v>-14.918749999999999</v>
      </c>
      <c r="O61" s="95">
        <f t="shared" si="54"/>
        <v>-12.077083333333333</v>
      </c>
      <c r="P61" s="95">
        <f t="shared" si="54"/>
        <v>-14.172321428571429</v>
      </c>
      <c r="Q61" s="92"/>
      <c r="R61" s="85" t="s">
        <v>35</v>
      </c>
      <c r="S61" s="95">
        <f t="shared" ref="S61:U61" si="55">S39-S$20</f>
        <v>-14.070833333333335</v>
      </c>
      <c r="T61" s="95">
        <f t="shared" si="55"/>
        <v>-12.489446924603174</v>
      </c>
      <c r="U61" s="95">
        <f t="shared" si="55"/>
        <v>-12.132465277777778</v>
      </c>
    </row>
    <row r="62" spans="1:21" x14ac:dyDescent="0.3">
      <c r="A62" s="85" t="str">
        <f>'FASE OFENSIVA'!A20</f>
        <v>BAISCH</v>
      </c>
      <c r="B62" s="95">
        <f t="shared" ref="B62:H62" si="56">B40-B$20</f>
        <v>-10.24375</v>
      </c>
      <c r="C62" s="95">
        <f t="shared" si="56"/>
        <v>-10.24375</v>
      </c>
      <c r="D62" s="95">
        <f t="shared" si="56"/>
        <v>-15.4</v>
      </c>
      <c r="E62" s="95">
        <f t="shared" si="56"/>
        <v>-11</v>
      </c>
      <c r="F62" s="95">
        <f t="shared" si="56"/>
        <v>-11</v>
      </c>
      <c r="G62" s="95">
        <f t="shared" si="56"/>
        <v>-11</v>
      </c>
      <c r="H62" s="95">
        <f t="shared" si="56"/>
        <v>-11</v>
      </c>
      <c r="I62" s="91"/>
      <c r="J62" s="85" t="str">
        <f>'FASE OFENSIVA'!A20</f>
        <v>BAISCH</v>
      </c>
      <c r="K62" s="95">
        <f t="shared" ref="K62:P62" si="57">K40-K$20</f>
        <v>-14.36875</v>
      </c>
      <c r="L62" s="95">
        <f t="shared" si="57"/>
        <v>-13.0625</v>
      </c>
      <c r="M62" s="95">
        <f t="shared" si="57"/>
        <v>-12.798958333333335</v>
      </c>
      <c r="N62" s="95">
        <f t="shared" si="57"/>
        <v>-14.918749999999999</v>
      </c>
      <c r="O62" s="95">
        <f t="shared" si="57"/>
        <v>-12.077083333333333</v>
      </c>
      <c r="P62" s="95">
        <f t="shared" si="57"/>
        <v>-14.172321428571429</v>
      </c>
      <c r="Q62" s="92"/>
      <c r="R62" s="85" t="s">
        <v>45</v>
      </c>
      <c r="S62" s="95">
        <f t="shared" ref="S62:U62" si="58">S40-S$20</f>
        <v>-14.070833333333335</v>
      </c>
      <c r="T62" s="95">
        <f t="shared" si="58"/>
        <v>-12.489446924603174</v>
      </c>
      <c r="U62" s="95">
        <f t="shared" si="58"/>
        <v>-12.132465277777778</v>
      </c>
    </row>
  </sheetData>
  <sortState xmlns:xlrd2="http://schemas.microsoft.com/office/spreadsheetml/2017/richdata2" ref="A45:D60">
    <sortCondition ref="B45:B60"/>
  </sortState>
  <mergeCells count="17">
    <mergeCell ref="B44:H44"/>
    <mergeCell ref="K44:P44"/>
    <mergeCell ref="S44:U44"/>
    <mergeCell ref="B45:D45"/>
    <mergeCell ref="E45:F45"/>
    <mergeCell ref="S1:U1"/>
    <mergeCell ref="B22:H22"/>
    <mergeCell ref="K22:P22"/>
    <mergeCell ref="S22:U22"/>
    <mergeCell ref="M2:N2"/>
    <mergeCell ref="B1:H1"/>
    <mergeCell ref="K1:P1"/>
    <mergeCell ref="B23:D23"/>
    <mergeCell ref="E23:F23"/>
    <mergeCell ref="B2:D2"/>
    <mergeCell ref="E2:F2"/>
    <mergeCell ref="K2:L2"/>
  </mergeCells>
  <conditionalFormatting sqref="B4:H19">
    <cfRule type="dataBar" priority="59">
      <dataBar>
        <cfvo type="min"/>
        <cfvo type="num" val="100"/>
        <color rgb="FF638EC6"/>
      </dataBar>
      <extLst>
        <ext xmlns:x14="http://schemas.microsoft.com/office/spreadsheetml/2009/9/main" uri="{B025F937-C7B1-47D3-B67F-A62EFF666E3E}">
          <x14:id>{10AD0C3B-E061-49DC-8FDC-3C22432843FA}</x14:id>
        </ext>
      </extLst>
    </cfRule>
    <cfRule type="dataBar" priority="60">
      <dataBar>
        <cfvo type="min"/>
        <cfvo type="num" val="100"/>
        <color rgb="FF638EC6"/>
      </dataBar>
      <extLst>
        <ext xmlns:x14="http://schemas.microsoft.com/office/spreadsheetml/2009/9/main" uri="{B025F937-C7B1-47D3-B67F-A62EFF666E3E}">
          <x14:id>{B10340CB-40A8-44D7-ABB9-494E5E67A97A}</x14:id>
        </ext>
      </extLst>
    </cfRule>
    <cfRule type="colorScale" priority="61">
      <colorScale>
        <cfvo type="min"/>
        <cfvo type="num" val="100"/>
        <color theme="8" tint="0.39997558519241921"/>
        <color rgb="FF002060"/>
      </colorScale>
    </cfRule>
  </conditionalFormatting>
  <conditionalFormatting sqref="I25:I40">
    <cfRule type="dataBar" priority="51">
      <dataBar>
        <cfvo type="min"/>
        <cfvo type="num" val="30"/>
        <color rgb="FF638EC6"/>
      </dataBar>
      <extLst>
        <ext xmlns:x14="http://schemas.microsoft.com/office/spreadsheetml/2009/9/main" uri="{B025F937-C7B1-47D3-B67F-A62EFF666E3E}">
          <x14:id>{57178F54-18DF-41B6-9772-152720A3B2AA}</x14:id>
        </ext>
      </extLst>
    </cfRule>
  </conditionalFormatting>
  <conditionalFormatting sqref="K4:P19">
    <cfRule type="dataBar" priority="62">
      <dataBar>
        <cfvo type="min"/>
        <cfvo type="num" val="100"/>
        <color theme="5" tint="0.39997558519241921"/>
      </dataBar>
      <extLst>
        <ext xmlns:x14="http://schemas.microsoft.com/office/spreadsheetml/2009/9/main" uri="{B025F937-C7B1-47D3-B67F-A62EFF666E3E}">
          <x14:id>{D567EA09-9AF8-41AF-BDC8-68BBA0C96F02}</x14:id>
        </ext>
      </extLst>
    </cfRule>
    <cfRule type="colorScale" priority="63">
      <colorScale>
        <cfvo type="min"/>
        <cfvo type="num" val="100"/>
        <color theme="5" tint="0.39997558519241921"/>
        <color theme="5" tint="-0.499984740745262"/>
      </colorScale>
    </cfRule>
  </conditionalFormatting>
  <conditionalFormatting sqref="S4:U19">
    <cfRule type="dataBar" priority="64">
      <dataBar>
        <cfvo type="num" val="0"/>
        <cfvo type="num" val="100"/>
        <color theme="9" tint="0.59999389629810485"/>
      </dataBar>
      <extLst>
        <ext xmlns:x14="http://schemas.microsoft.com/office/spreadsheetml/2009/9/main" uri="{B025F937-C7B1-47D3-B67F-A62EFF666E3E}">
          <x14:id>{D91250B0-9379-4956-8D69-7370FD4DD78D}</x14:id>
        </ext>
      </extLst>
    </cfRule>
    <cfRule type="colorScale" priority="65">
      <colorScale>
        <cfvo type="min"/>
        <cfvo type="max"/>
        <color theme="9" tint="0.39997558519241921"/>
        <color theme="9" tint="-0.499984740745262"/>
      </colorScale>
    </cfRule>
  </conditionalFormatting>
  <conditionalFormatting sqref="B47:H62">
    <cfRule type="dataBar" priority="30">
      <dataBar>
        <cfvo type="min"/>
        <cfvo type="num" val="100"/>
        <color rgb="FF638EC6"/>
      </dataBar>
      <extLst>
        <ext xmlns:x14="http://schemas.microsoft.com/office/spreadsheetml/2009/9/main" uri="{B025F937-C7B1-47D3-B67F-A62EFF666E3E}">
          <x14:id>{C64B074B-2BEC-46C5-8DE0-3643A0BFE74F}</x14:id>
        </ext>
      </extLst>
    </cfRule>
    <cfRule type="dataBar" priority="31">
      <dataBar>
        <cfvo type="min"/>
        <cfvo type="num" val="100"/>
        <color rgb="FF638EC6"/>
      </dataBar>
      <extLst>
        <ext xmlns:x14="http://schemas.microsoft.com/office/spreadsheetml/2009/9/main" uri="{B025F937-C7B1-47D3-B67F-A62EFF666E3E}">
          <x14:id>{ED198D61-1060-4196-9FE8-8BC7A3467DA0}</x14:id>
        </ext>
      </extLst>
    </cfRule>
    <cfRule type="colorScale" priority="32">
      <colorScale>
        <cfvo type="min"/>
        <cfvo type="num" val="100"/>
        <color theme="8" tint="0.39997558519241921"/>
        <color rgb="FF002060"/>
      </colorScale>
    </cfRule>
  </conditionalFormatting>
  <conditionalFormatting sqref="B47:I62">
    <cfRule type="dataBar" priority="29">
      <dataBar>
        <cfvo type="min"/>
        <cfvo type="num" val="30"/>
        <color rgb="FF638EC6"/>
      </dataBar>
      <extLst>
        <ext xmlns:x14="http://schemas.microsoft.com/office/spreadsheetml/2009/9/main" uri="{B025F937-C7B1-47D3-B67F-A62EFF666E3E}">
          <x14:id>{4A70B5B1-B857-41B9-9415-AD393B2D35FE}</x14:id>
        </ext>
      </extLst>
    </cfRule>
  </conditionalFormatting>
  <conditionalFormatting sqref="K47:P62">
    <cfRule type="dataBar" priority="23">
      <dataBar>
        <cfvo type="min"/>
        <cfvo type="num" val="30"/>
        <color theme="5" tint="0.39997558519241921"/>
      </dataBar>
      <extLst>
        <ext xmlns:x14="http://schemas.microsoft.com/office/spreadsheetml/2009/9/main" uri="{B025F937-C7B1-47D3-B67F-A62EFF666E3E}">
          <x14:id>{5B3419B5-43D1-402B-BCD4-5F293399E9DB}</x14:id>
        </ext>
      </extLst>
    </cfRule>
    <cfRule type="colorScale" priority="24">
      <colorScale>
        <cfvo type="min"/>
        <cfvo type="max"/>
        <color theme="5" tint="0.39997558519241921"/>
        <color theme="5" tint="-0.499984740745262"/>
      </colorScale>
    </cfRule>
    <cfRule type="dataBar" priority="25">
      <dataBar>
        <cfvo type="min"/>
        <cfvo type="num" val="30"/>
        <color rgb="FF638EC6"/>
      </dataBar>
      <extLst>
        <ext xmlns:x14="http://schemas.microsoft.com/office/spreadsheetml/2009/9/main" uri="{B025F937-C7B1-47D3-B67F-A62EFF666E3E}">
          <x14:id>{CD31DCD3-533D-4666-8EC6-E093962F8B6D}</x14:id>
        </ext>
      </extLst>
    </cfRule>
    <cfRule type="dataBar" priority="26">
      <dataBar>
        <cfvo type="min"/>
        <cfvo type="num" val="100"/>
        <color rgb="FF638EC6"/>
      </dataBar>
      <extLst>
        <ext xmlns:x14="http://schemas.microsoft.com/office/spreadsheetml/2009/9/main" uri="{B025F937-C7B1-47D3-B67F-A62EFF666E3E}">
          <x14:id>{6F307B22-2B8B-4608-9E03-66CF7A7E1781}</x14:id>
        </ext>
      </extLst>
    </cfRule>
    <cfRule type="dataBar" priority="27">
      <dataBar>
        <cfvo type="min"/>
        <cfvo type="num" val="100"/>
        <color rgb="FF638EC6"/>
      </dataBar>
      <extLst>
        <ext xmlns:x14="http://schemas.microsoft.com/office/spreadsheetml/2009/9/main" uri="{B025F937-C7B1-47D3-B67F-A62EFF666E3E}">
          <x14:id>{42161982-457C-4C3A-8487-08AFF3B3CED7}</x14:id>
        </ext>
      </extLst>
    </cfRule>
    <cfRule type="colorScale" priority="28">
      <colorScale>
        <cfvo type="min"/>
        <cfvo type="num" val="100"/>
        <color theme="8" tint="0.39997558519241921"/>
        <color rgb="FF002060"/>
      </colorScale>
    </cfRule>
  </conditionalFormatting>
  <conditionalFormatting sqref="S47:U62">
    <cfRule type="dataBar" priority="15">
      <dataBar>
        <cfvo type="min"/>
        <cfvo type="num" val="60"/>
        <color theme="9" tint="0.59999389629810485"/>
      </dataBar>
      <extLst>
        <ext xmlns:x14="http://schemas.microsoft.com/office/spreadsheetml/2009/9/main" uri="{B025F937-C7B1-47D3-B67F-A62EFF666E3E}">
          <x14:id>{635321AE-1056-4B8A-B3C2-A872F5B2399C}</x14:id>
        </ext>
      </extLst>
    </cfRule>
    <cfRule type="colorScale" priority="16">
      <colorScale>
        <cfvo type="min"/>
        <cfvo type="max"/>
        <color theme="9" tint="0.39997558519241921"/>
        <color theme="9" tint="-0.499984740745262"/>
      </colorScale>
    </cfRule>
    <cfRule type="dataBar" priority="17">
      <dataBar>
        <cfvo type="min"/>
        <cfvo type="num" val="30"/>
        <color theme="5" tint="0.39997558519241921"/>
      </dataBar>
      <extLst>
        <ext xmlns:x14="http://schemas.microsoft.com/office/spreadsheetml/2009/9/main" uri="{B025F937-C7B1-47D3-B67F-A62EFF666E3E}">
          <x14:id>{A15D7C58-E0EF-43EE-8BD3-DDEF81DC6ED9}</x14:id>
        </ext>
      </extLst>
    </cfRule>
    <cfRule type="colorScale" priority="18">
      <colorScale>
        <cfvo type="min"/>
        <cfvo type="max"/>
        <color theme="5" tint="0.39997558519241921"/>
        <color theme="5" tint="-0.499984740745262"/>
      </colorScale>
    </cfRule>
    <cfRule type="dataBar" priority="19">
      <dataBar>
        <cfvo type="min"/>
        <cfvo type="num" val="30"/>
        <color rgb="FF638EC6"/>
      </dataBar>
      <extLst>
        <ext xmlns:x14="http://schemas.microsoft.com/office/spreadsheetml/2009/9/main" uri="{B025F937-C7B1-47D3-B67F-A62EFF666E3E}">
          <x14:id>{5988BCF0-BB39-4DBF-A706-AFC689E9383F}</x14:id>
        </ext>
      </extLst>
    </cfRule>
    <cfRule type="dataBar" priority="20">
      <dataBar>
        <cfvo type="min"/>
        <cfvo type="num" val="100"/>
        <color rgb="FF638EC6"/>
      </dataBar>
      <extLst>
        <ext xmlns:x14="http://schemas.microsoft.com/office/spreadsheetml/2009/9/main" uri="{B025F937-C7B1-47D3-B67F-A62EFF666E3E}">
          <x14:id>{6D07F94D-4644-411D-BA87-151EF4E442DD}</x14:id>
        </ext>
      </extLst>
    </cfRule>
    <cfRule type="dataBar" priority="21">
      <dataBar>
        <cfvo type="min"/>
        <cfvo type="num" val="100"/>
        <color rgb="FF638EC6"/>
      </dataBar>
      <extLst>
        <ext xmlns:x14="http://schemas.microsoft.com/office/spreadsheetml/2009/9/main" uri="{B025F937-C7B1-47D3-B67F-A62EFF666E3E}">
          <x14:id>{D46582B1-81FA-480C-9463-08890F057C8C}</x14:id>
        </ext>
      </extLst>
    </cfRule>
    <cfRule type="colorScale" priority="22">
      <colorScale>
        <cfvo type="min"/>
        <cfvo type="num" val="100"/>
        <color theme="8" tint="0.39997558519241921"/>
        <color rgb="FF002060"/>
      </colorScale>
    </cfRule>
  </conditionalFormatting>
  <conditionalFormatting sqref="B25:H40">
    <cfRule type="colorScale" priority="7">
      <colorScale>
        <cfvo type="min"/>
        <cfvo type="max"/>
        <color rgb="FFFF0000"/>
        <color rgb="FF00B050"/>
      </colorScale>
    </cfRule>
    <cfRule type="colorScale" priority="8">
      <colorScale>
        <cfvo type="min"/>
        <cfvo type="max"/>
        <color rgb="FF0070C0"/>
        <color rgb="FFFF0000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5:P40">
    <cfRule type="colorScale" priority="4">
      <colorScale>
        <cfvo type="min"/>
        <cfvo type="max"/>
        <color rgb="FFFF0000"/>
        <color rgb="FF00B050"/>
      </colorScale>
    </cfRule>
    <cfRule type="colorScale" priority="5">
      <colorScale>
        <cfvo type="min"/>
        <cfvo type="max"/>
        <color rgb="FF0070C0"/>
        <color rgb="FFFF0000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5:U40">
    <cfRule type="colorScale" priority="1">
      <colorScale>
        <cfvo type="min"/>
        <cfvo type="max"/>
        <color rgb="FFFF0000"/>
        <color rgb="FF00B050"/>
      </colorScale>
    </cfRule>
    <cfRule type="colorScale" priority="2">
      <colorScale>
        <cfvo type="min"/>
        <cfvo type="max"/>
        <color rgb="FF0070C0"/>
        <color rgb="FFFF0000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AD0C3B-E061-49DC-8FDC-3C22432843FA}">
            <x14:dataBar minLength="0" maxLength="100" border="1" gradient="0" axisPosition="middle">
              <x14:cfvo type="min"/>
              <x14:cfvo type="num">
                <xm:f>100</xm:f>
              </x14:cfvo>
              <x14:borderColor theme="0"/>
              <x14:negativeFillColor rgb="FFFF0000"/>
              <x14:axisColor rgb="FF000000"/>
            </x14:dataBar>
          </x14:cfRule>
          <x14:cfRule type="dataBar" id="{B10340CB-40A8-44D7-ABB9-494E5E67A97A}">
            <x14:dataBar minLength="0" maxLength="100" border="1" gradient="0">
              <x14:cfvo type="min"/>
              <x14:cfvo type="num">
                <xm:f>100</xm:f>
              </x14:cfvo>
              <x14:borderColor theme="0"/>
              <x14:negativeFillColor rgb="FFFF0000"/>
              <x14:axisColor rgb="FF000000"/>
            </x14:dataBar>
          </x14:cfRule>
          <xm:sqref>B4:H19</xm:sqref>
        </x14:conditionalFormatting>
        <x14:conditionalFormatting xmlns:xm="http://schemas.microsoft.com/office/excel/2006/main">
          <x14:cfRule type="dataBar" id="{57178F54-18DF-41B6-9772-152720A3B2AA}">
            <x14:dataBar minLength="0" maxLength="100" border="1" gradient="0" axisPosition="middle">
              <x14:cfvo type="min"/>
              <x14:cfvo type="num">
                <xm:f>30</xm:f>
              </x14:cfvo>
              <x14:borderColor theme="0"/>
              <x14:negativeFillColor rgb="FFFF0000"/>
              <x14:axisColor rgb="FF000000"/>
            </x14:dataBar>
          </x14:cfRule>
          <xm:sqref>I25:I40</xm:sqref>
        </x14:conditionalFormatting>
        <x14:conditionalFormatting xmlns:xm="http://schemas.microsoft.com/office/excel/2006/main">
          <x14:cfRule type="dataBar" id="{D567EA09-9AF8-41AF-BDC8-68BBA0C96F02}">
            <x14:dataBar minLength="0" maxLength="100" border="1" gradient="0">
              <x14:cfvo type="min"/>
              <x14:cfvo type="num">
                <xm:f>100</xm:f>
              </x14:cfvo>
              <x14:borderColor theme="0" tint="-4.9989318521683403E-2"/>
              <x14:negativeFillColor rgb="FFFF0000"/>
              <x14:axisColor rgb="FF000000"/>
            </x14:dataBar>
          </x14:cfRule>
          <xm:sqref>K4:P19</xm:sqref>
        </x14:conditionalFormatting>
        <x14:conditionalFormatting xmlns:xm="http://schemas.microsoft.com/office/excel/2006/main">
          <x14:cfRule type="dataBar" id="{D91250B0-9379-4956-8D69-7370FD4DD78D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0"/>
              <x14:negativeFillColor rgb="FFFF0000"/>
              <x14:axisColor rgb="FF000000"/>
            </x14:dataBar>
          </x14:cfRule>
          <xm:sqref>S4:U19</xm:sqref>
        </x14:conditionalFormatting>
        <x14:conditionalFormatting xmlns:xm="http://schemas.microsoft.com/office/excel/2006/main">
          <x14:cfRule type="dataBar" id="{C64B074B-2BEC-46C5-8DE0-3643A0BFE74F}">
            <x14:dataBar minLength="0" maxLength="100" border="1" gradient="0" axisPosition="middle">
              <x14:cfvo type="min"/>
              <x14:cfvo type="num">
                <xm:f>100</xm:f>
              </x14:cfvo>
              <x14:borderColor theme="0"/>
              <x14:negativeFillColor rgb="FFFF0000"/>
              <x14:axisColor rgb="FF000000"/>
            </x14:dataBar>
          </x14:cfRule>
          <x14:cfRule type="dataBar" id="{ED198D61-1060-4196-9FE8-8BC7A3467DA0}">
            <x14:dataBar minLength="0" maxLength="100" border="1" gradient="0">
              <x14:cfvo type="min"/>
              <x14:cfvo type="num">
                <xm:f>100</xm:f>
              </x14:cfvo>
              <x14:borderColor theme="0"/>
              <x14:negativeFillColor rgb="FFFF0000"/>
              <x14:axisColor rgb="FF000000"/>
            </x14:dataBar>
          </x14:cfRule>
          <xm:sqref>B47:H62</xm:sqref>
        </x14:conditionalFormatting>
        <x14:conditionalFormatting xmlns:xm="http://schemas.microsoft.com/office/excel/2006/main">
          <x14:cfRule type="dataBar" id="{4A70B5B1-B857-41B9-9415-AD393B2D35FE}">
            <x14:dataBar minLength="0" maxLength="100" border="1" gradient="0" axisPosition="middle">
              <x14:cfvo type="min"/>
              <x14:cfvo type="num">
                <xm:f>30</xm:f>
              </x14:cfvo>
              <x14:borderColor theme="0"/>
              <x14:negativeFillColor rgb="FFFF0000"/>
              <x14:axisColor rgb="FF000000"/>
            </x14:dataBar>
          </x14:cfRule>
          <xm:sqref>B47:I62</xm:sqref>
        </x14:conditionalFormatting>
        <x14:conditionalFormatting xmlns:xm="http://schemas.microsoft.com/office/excel/2006/main">
          <x14:cfRule type="dataBar" id="{5B3419B5-43D1-402B-BCD4-5F293399E9DB}">
            <x14:dataBar minLength="0" maxLength="100" border="1" gradient="0" axisPosition="middle">
              <x14:cfvo type="autoMin"/>
              <x14:cfvo type="num">
                <xm:f>30</xm:f>
              </x14:cfvo>
              <x14:borderColor theme="0" tint="-4.9989318521683403E-2"/>
              <x14:negativeFillColor rgb="FFFF0000"/>
              <x14:axisColor rgb="FF000000"/>
            </x14:dataBar>
          </x14:cfRule>
          <x14:cfRule type="dataBar" id="{CD31DCD3-533D-4666-8EC6-E093962F8B6D}">
            <x14:dataBar minLength="0" maxLength="100" border="1" gradient="0" axisPosition="middle">
              <x14:cfvo type="min"/>
              <x14:cfvo type="num">
                <xm:f>30</xm:f>
              </x14:cfvo>
              <x14:borderColor theme="0"/>
              <x14:negativeFillColor rgb="FFFF0000"/>
              <x14:axisColor rgb="FF000000"/>
            </x14:dataBar>
          </x14:cfRule>
          <x14:cfRule type="dataBar" id="{6F307B22-2B8B-4608-9E03-66CF7A7E1781}">
            <x14:dataBar minLength="0" maxLength="100" border="1" gradient="0" axisPosition="middle">
              <x14:cfvo type="min"/>
              <x14:cfvo type="num">
                <xm:f>100</xm:f>
              </x14:cfvo>
              <x14:borderColor theme="0"/>
              <x14:negativeFillColor rgb="FFFF0000"/>
              <x14:axisColor rgb="FF000000"/>
            </x14:dataBar>
          </x14:cfRule>
          <x14:cfRule type="dataBar" id="{42161982-457C-4C3A-8487-08AFF3B3CED7}">
            <x14:dataBar minLength="0" maxLength="100" border="1" gradient="0">
              <x14:cfvo type="min"/>
              <x14:cfvo type="num">
                <xm:f>100</xm:f>
              </x14:cfvo>
              <x14:borderColor theme="0"/>
              <x14:negativeFillColor rgb="FFFF0000"/>
              <x14:axisColor rgb="FF000000"/>
            </x14:dataBar>
          </x14:cfRule>
          <xm:sqref>K47:P62</xm:sqref>
        </x14:conditionalFormatting>
        <x14:conditionalFormatting xmlns:xm="http://schemas.microsoft.com/office/excel/2006/main">
          <x14:cfRule type="dataBar" id="{635321AE-1056-4B8A-B3C2-A872F5B2399C}">
            <x14:dataBar minLength="0" maxLength="100" border="1" gradient="0" axisPosition="middle">
              <x14:cfvo type="autoMin"/>
              <x14:cfvo type="num">
                <xm:f>60</xm:f>
              </x14:cfvo>
              <x14:borderColor theme="0"/>
              <x14:negativeFillColor rgb="FFFF0000"/>
              <x14:axisColor rgb="FF000000"/>
            </x14:dataBar>
          </x14:cfRule>
          <x14:cfRule type="dataBar" id="{A15D7C58-E0EF-43EE-8BD3-DDEF81DC6ED9}">
            <x14:dataBar minLength="0" maxLength="100" border="1" gradient="0" axisPosition="middle">
              <x14:cfvo type="autoMin"/>
              <x14:cfvo type="num">
                <xm:f>30</xm:f>
              </x14:cfvo>
              <x14:borderColor theme="0" tint="-4.9989318521683403E-2"/>
              <x14:negativeFillColor rgb="FFFF0000"/>
              <x14:axisColor rgb="FF000000"/>
            </x14:dataBar>
          </x14:cfRule>
          <x14:cfRule type="dataBar" id="{5988BCF0-BB39-4DBF-A706-AFC689E9383F}">
            <x14:dataBar minLength="0" maxLength="100" border="1" gradient="0" axisPosition="middle">
              <x14:cfvo type="min"/>
              <x14:cfvo type="num">
                <xm:f>30</xm:f>
              </x14:cfvo>
              <x14:borderColor theme="0"/>
              <x14:negativeFillColor rgb="FFFF0000"/>
              <x14:axisColor rgb="FF000000"/>
            </x14:dataBar>
          </x14:cfRule>
          <x14:cfRule type="dataBar" id="{6D07F94D-4644-411D-BA87-151EF4E442DD}">
            <x14:dataBar minLength="0" maxLength="100" border="1" gradient="0" axisPosition="middle">
              <x14:cfvo type="min"/>
              <x14:cfvo type="num">
                <xm:f>100</xm:f>
              </x14:cfvo>
              <x14:borderColor theme="0"/>
              <x14:negativeFillColor rgb="FFFF0000"/>
              <x14:axisColor rgb="FF000000"/>
            </x14:dataBar>
          </x14:cfRule>
          <x14:cfRule type="dataBar" id="{D46582B1-81FA-480C-9463-08890F057C8C}">
            <x14:dataBar minLength="0" maxLength="100" border="1" gradient="0">
              <x14:cfvo type="min"/>
              <x14:cfvo type="num">
                <xm:f>100</xm:f>
              </x14:cfvo>
              <x14:borderColor theme="0"/>
              <x14:negativeFillColor rgb="FFFF0000"/>
              <x14:axisColor rgb="FF000000"/>
            </x14:dataBar>
          </x14:cfRule>
          <xm:sqref>S47:U62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F630B-F1CE-49D4-9A80-9714DC85F01C}">
  <sheetPr codeName="Planilha7"/>
  <dimension ref="A1:V61"/>
  <sheetViews>
    <sheetView topLeftCell="A14" zoomScale="85" zoomScaleNormal="85" workbookViewId="0">
      <selection activeCell="D4" sqref="D4"/>
    </sheetView>
  </sheetViews>
  <sheetFormatPr defaultRowHeight="14.4" x14ac:dyDescent="0.3"/>
  <cols>
    <col min="1" max="1" width="14.44140625" style="100" customWidth="1"/>
    <col min="2" max="8" width="9.6640625" style="52" customWidth="1"/>
    <col min="9" max="9" width="2.44140625" style="52" customWidth="1"/>
    <col min="10" max="11" width="8.88671875" style="52"/>
    <col min="12" max="12" width="5.109375" style="52" customWidth="1"/>
    <col min="13" max="13" width="18.88671875" style="52" customWidth="1"/>
    <col min="14" max="14" width="8.88671875" style="52"/>
    <col min="15" max="15" width="2.21875" style="52" customWidth="1"/>
    <col min="16" max="16" width="5.109375" style="52" customWidth="1"/>
    <col min="17" max="17" width="18.88671875" style="52" customWidth="1"/>
    <col min="18" max="18" width="8.88671875" style="52"/>
    <col min="19" max="19" width="2.21875" style="52" customWidth="1"/>
    <col min="20" max="20" width="5.109375" style="52" customWidth="1"/>
    <col min="21" max="21" width="18.88671875" style="52" customWidth="1"/>
    <col min="22" max="16384" width="8.88671875" style="52"/>
  </cols>
  <sheetData>
    <row r="1" spans="1:22" ht="15.6" x14ac:dyDescent="0.3">
      <c r="A1" s="97"/>
      <c r="B1" s="200" t="s">
        <v>131</v>
      </c>
      <c r="C1" s="201"/>
      <c r="D1" s="201"/>
      <c r="E1" s="201"/>
      <c r="F1" s="201"/>
      <c r="G1" s="201"/>
      <c r="H1" s="202"/>
      <c r="L1" s="185" t="s">
        <v>103</v>
      </c>
      <c r="M1" s="185"/>
      <c r="N1" s="185" t="s">
        <v>15</v>
      </c>
      <c r="P1" s="185" t="s">
        <v>103</v>
      </c>
      <c r="Q1" s="185"/>
      <c r="R1" s="185" t="s">
        <v>15</v>
      </c>
      <c r="T1" s="185" t="s">
        <v>103</v>
      </c>
      <c r="U1" s="185"/>
      <c r="V1" s="185" t="s">
        <v>15</v>
      </c>
    </row>
    <row r="2" spans="1:22" x14ac:dyDescent="0.3">
      <c r="A2" s="98"/>
      <c r="B2" s="194" t="s">
        <v>139</v>
      </c>
      <c r="C2" s="195"/>
      <c r="D2" s="196"/>
      <c r="E2" s="194" t="s">
        <v>140</v>
      </c>
      <c r="F2" s="196"/>
      <c r="G2" s="87" t="s">
        <v>133</v>
      </c>
      <c r="H2" s="87" t="s">
        <v>133</v>
      </c>
      <c r="L2" s="206" t="s">
        <v>143</v>
      </c>
      <c r="M2" s="206"/>
      <c r="N2" s="206"/>
      <c r="P2" s="206" t="s">
        <v>17</v>
      </c>
      <c r="Q2" s="206"/>
      <c r="R2" s="206"/>
      <c r="T2" s="206" t="s">
        <v>144</v>
      </c>
      <c r="U2" s="206"/>
      <c r="V2" s="206"/>
    </row>
    <row r="3" spans="1:22" x14ac:dyDescent="0.3">
      <c r="A3" s="64" t="s">
        <v>2</v>
      </c>
      <c r="B3" s="88" t="s">
        <v>0</v>
      </c>
      <c r="C3" s="88" t="s">
        <v>132</v>
      </c>
      <c r="D3" s="88" t="s">
        <v>7</v>
      </c>
      <c r="E3" s="88" t="s">
        <v>115</v>
      </c>
      <c r="F3" s="88" t="s">
        <v>116</v>
      </c>
      <c r="G3" s="88" t="s">
        <v>134</v>
      </c>
      <c r="H3" s="88" t="s">
        <v>123</v>
      </c>
      <c r="L3" s="66" t="s">
        <v>110</v>
      </c>
      <c r="M3" s="67" t="s">
        <v>112</v>
      </c>
      <c r="N3" s="66" t="s">
        <v>111</v>
      </c>
      <c r="P3" s="66" t="s">
        <v>110</v>
      </c>
      <c r="Q3" s="67" t="s">
        <v>112</v>
      </c>
      <c r="R3" s="66" t="s">
        <v>111</v>
      </c>
      <c r="T3" s="66" t="s">
        <v>110</v>
      </c>
      <c r="U3" s="67" t="s">
        <v>112</v>
      </c>
      <c r="V3" s="66" t="s">
        <v>111</v>
      </c>
    </row>
    <row r="4" spans="1:22" x14ac:dyDescent="0.3">
      <c r="A4" s="85" t="str">
        <f>'FASE OFENSIVA'!A5</f>
        <v>MATEUS</v>
      </c>
      <c r="B4" s="95">
        <f>'FASE OFENSIVA'!AF5</f>
        <v>11</v>
      </c>
      <c r="C4" s="95">
        <f>'FASE OFENSIVA'!AG5</f>
        <v>11</v>
      </c>
      <c r="D4" s="95">
        <f>'FASE OFENSIVA'!AH5</f>
        <v>11</v>
      </c>
      <c r="E4" s="95">
        <f>'FASE OFENSIVA'!AI5</f>
        <v>11</v>
      </c>
      <c r="F4" s="95">
        <f>'FASE OFENSIVA'!AJ5</f>
        <v>11</v>
      </c>
      <c r="G4" s="95">
        <f>'FASE OFENSIVA'!AK5</f>
        <v>11</v>
      </c>
      <c r="H4" s="95">
        <f>'FASE OFENSIVA'!AL5</f>
        <v>11</v>
      </c>
      <c r="I4" s="99"/>
      <c r="L4" s="70">
        <v>1</v>
      </c>
      <c r="M4" s="116" t="s">
        <v>25</v>
      </c>
      <c r="N4" s="101">
        <v>11</v>
      </c>
      <c r="P4" s="70">
        <v>1</v>
      </c>
      <c r="Q4" s="116" t="s">
        <v>25</v>
      </c>
      <c r="R4" s="101">
        <v>11</v>
      </c>
      <c r="T4" s="70">
        <v>1</v>
      </c>
      <c r="U4" s="116" t="s">
        <v>164</v>
      </c>
      <c r="V4" s="101">
        <v>75</v>
      </c>
    </row>
    <row r="5" spans="1:22" x14ac:dyDescent="0.3">
      <c r="A5" s="85" t="str">
        <f>'FASE OFENSIVA'!A6</f>
        <v>RAFINHA</v>
      </c>
      <c r="B5" s="95">
        <f>'FASE OFENSIVA'!AF6</f>
        <v>11</v>
      </c>
      <c r="C5" s="95">
        <f>'FASE OFENSIVA'!AG6</f>
        <v>11</v>
      </c>
      <c r="D5" s="95">
        <f>'FASE OFENSIVA'!AH6</f>
        <v>11</v>
      </c>
      <c r="E5" s="95">
        <f>'FASE OFENSIVA'!AI6</f>
        <v>11</v>
      </c>
      <c r="F5" s="95">
        <f>'FASE OFENSIVA'!AJ6</f>
        <v>11</v>
      </c>
      <c r="G5" s="95">
        <f>'FASE OFENSIVA'!AK6</f>
        <v>11</v>
      </c>
      <c r="H5" s="95">
        <f>'FASE OFENSIVA'!AL6</f>
        <v>11</v>
      </c>
      <c r="I5" s="99"/>
      <c r="L5" s="70">
        <v>1</v>
      </c>
      <c r="M5" s="116" t="s">
        <v>26</v>
      </c>
      <c r="N5" s="101">
        <v>11</v>
      </c>
      <c r="P5" s="70">
        <v>1</v>
      </c>
      <c r="Q5" s="116" t="s">
        <v>26</v>
      </c>
      <c r="R5" s="101">
        <v>11</v>
      </c>
      <c r="T5" s="70">
        <v>2</v>
      </c>
      <c r="U5" s="116" t="s">
        <v>26</v>
      </c>
      <c r="V5" s="101">
        <v>11</v>
      </c>
    </row>
    <row r="6" spans="1:22" x14ac:dyDescent="0.3">
      <c r="A6" s="85" t="str">
        <f>'FASE OFENSIVA'!A7</f>
        <v>TARIQ</v>
      </c>
      <c r="B6" s="95">
        <f>'FASE OFENSIVA'!AF7</f>
        <v>11</v>
      </c>
      <c r="C6" s="95">
        <f>'FASE OFENSIVA'!AG7</f>
        <v>11</v>
      </c>
      <c r="D6" s="95">
        <f>'FASE OFENSIVA'!AH7</f>
        <v>11</v>
      </c>
      <c r="E6" s="95">
        <f>'FASE OFENSIVA'!AI7</f>
        <v>11</v>
      </c>
      <c r="F6" s="95">
        <f>'FASE OFENSIVA'!AJ7</f>
        <v>11</v>
      </c>
      <c r="G6" s="95">
        <f>'FASE OFENSIVA'!AK7</f>
        <v>11</v>
      </c>
      <c r="H6" s="95">
        <f>'FASE OFENSIVA'!AL7</f>
        <v>11</v>
      </c>
      <c r="I6" s="99"/>
      <c r="L6" s="70">
        <v>1</v>
      </c>
      <c r="M6" s="116" t="s">
        <v>24</v>
      </c>
      <c r="N6" s="101">
        <v>11</v>
      </c>
      <c r="P6" s="70">
        <v>1</v>
      </c>
      <c r="Q6" s="116" t="s">
        <v>24</v>
      </c>
      <c r="R6" s="101">
        <v>11</v>
      </c>
      <c r="T6" s="70">
        <v>2</v>
      </c>
      <c r="U6" s="116" t="s">
        <v>24</v>
      </c>
      <c r="V6" s="101">
        <v>11</v>
      </c>
    </row>
    <row r="7" spans="1:22" x14ac:dyDescent="0.3">
      <c r="A7" s="85" t="str">
        <f>'FASE OFENSIVA'!A8</f>
        <v>TETEU</v>
      </c>
      <c r="B7" s="95">
        <f>'FASE OFENSIVA'!AF8</f>
        <v>11</v>
      </c>
      <c r="C7" s="95">
        <f>'FASE OFENSIVA'!AG8</f>
        <v>11</v>
      </c>
      <c r="D7" s="95">
        <f>'FASE OFENSIVA'!AH8</f>
        <v>11</v>
      </c>
      <c r="E7" s="95">
        <f>'FASE OFENSIVA'!AI8</f>
        <v>11</v>
      </c>
      <c r="F7" s="95">
        <f>'FASE OFENSIVA'!AJ8</f>
        <v>11</v>
      </c>
      <c r="G7" s="95">
        <f>'FASE OFENSIVA'!AK8</f>
        <v>11</v>
      </c>
      <c r="H7" s="95">
        <f>'FASE OFENSIVA'!AL8</f>
        <v>11</v>
      </c>
      <c r="I7" s="99"/>
      <c r="L7" s="70">
        <v>1</v>
      </c>
      <c r="M7" s="116" t="s">
        <v>27</v>
      </c>
      <c r="N7" s="101">
        <v>11</v>
      </c>
      <c r="P7" s="70">
        <v>1</v>
      </c>
      <c r="Q7" s="116" t="s">
        <v>27</v>
      </c>
      <c r="R7" s="101">
        <v>11</v>
      </c>
      <c r="T7" s="70">
        <v>2</v>
      </c>
      <c r="U7" s="116" t="s">
        <v>27</v>
      </c>
      <c r="V7" s="101">
        <v>11</v>
      </c>
    </row>
    <row r="8" spans="1:22" x14ac:dyDescent="0.3">
      <c r="A8" s="85" t="str">
        <f>'FASE OFENSIVA'!A9</f>
        <v>LORENZO</v>
      </c>
      <c r="B8" s="95">
        <f>'FASE OFENSIVA'!AF9</f>
        <v>11</v>
      </c>
      <c r="C8" s="95">
        <f>'FASE OFENSIVA'!AG9</f>
        <v>11</v>
      </c>
      <c r="D8" s="95">
        <f>'FASE OFENSIVA'!AH9</f>
        <v>11</v>
      </c>
      <c r="E8" s="95">
        <f>'FASE OFENSIVA'!AI9</f>
        <v>11</v>
      </c>
      <c r="F8" s="95">
        <f>'FASE OFENSIVA'!AJ9</f>
        <v>11</v>
      </c>
      <c r="G8" s="95">
        <f>'FASE OFENSIVA'!AK9</f>
        <v>11</v>
      </c>
      <c r="H8" s="95">
        <f>'FASE OFENSIVA'!AL9</f>
        <v>11</v>
      </c>
      <c r="I8" s="99"/>
      <c r="L8" s="70">
        <v>1</v>
      </c>
      <c r="M8" s="85" t="s">
        <v>31</v>
      </c>
      <c r="N8" s="101">
        <v>11</v>
      </c>
      <c r="P8" s="70">
        <v>1</v>
      </c>
      <c r="Q8" s="85" t="s">
        <v>31</v>
      </c>
      <c r="R8" s="101">
        <v>11</v>
      </c>
      <c r="T8" s="70">
        <v>2</v>
      </c>
      <c r="U8" s="85" t="s">
        <v>31</v>
      </c>
      <c r="V8" s="101">
        <v>11</v>
      </c>
    </row>
    <row r="9" spans="1:22" x14ac:dyDescent="0.3">
      <c r="A9" s="85" t="str">
        <f>'FASE OFENSIVA'!A10</f>
        <v>PEPO</v>
      </c>
      <c r="B9" s="95">
        <f>'FASE OFENSIVA'!AF10</f>
        <v>11</v>
      </c>
      <c r="C9" s="95">
        <f>'FASE OFENSIVA'!AG10</f>
        <v>11</v>
      </c>
      <c r="D9" s="95">
        <f>'FASE OFENSIVA'!AH10</f>
        <v>11</v>
      </c>
      <c r="E9" s="95">
        <f>'FASE OFENSIVA'!AI10</f>
        <v>11</v>
      </c>
      <c r="F9" s="95">
        <f>'FASE OFENSIVA'!AJ10</f>
        <v>11</v>
      </c>
      <c r="G9" s="95">
        <f>'FASE OFENSIVA'!AK10</f>
        <v>11</v>
      </c>
      <c r="H9" s="95">
        <f>'FASE OFENSIVA'!AL10</f>
        <v>11</v>
      </c>
      <c r="I9" s="99"/>
      <c r="L9" s="70">
        <v>1</v>
      </c>
      <c r="M9" s="85" t="s">
        <v>29</v>
      </c>
      <c r="N9" s="101">
        <v>11</v>
      </c>
      <c r="P9" s="70">
        <v>1</v>
      </c>
      <c r="Q9" s="85" t="s">
        <v>29</v>
      </c>
      <c r="R9" s="101">
        <v>11</v>
      </c>
      <c r="T9" s="70">
        <v>2</v>
      </c>
      <c r="U9" s="85" t="s">
        <v>29</v>
      </c>
      <c r="V9" s="101">
        <v>11</v>
      </c>
    </row>
    <row r="10" spans="1:22" x14ac:dyDescent="0.3">
      <c r="A10" s="85" t="str">
        <f>'FASE OFENSIVA'!A11</f>
        <v>ROGÉRIO</v>
      </c>
      <c r="B10" s="95">
        <f>'FASE OFENSIVA'!AF11</f>
        <v>11</v>
      </c>
      <c r="C10" s="95">
        <f>'FASE OFENSIVA'!AG11</f>
        <v>11</v>
      </c>
      <c r="D10" s="95">
        <f>'FASE OFENSIVA'!AH11</f>
        <v>11</v>
      </c>
      <c r="E10" s="95">
        <f>'FASE OFENSIVA'!AI11</f>
        <v>11</v>
      </c>
      <c r="F10" s="95">
        <f>'FASE OFENSIVA'!AJ11</f>
        <v>11</v>
      </c>
      <c r="G10" s="95">
        <f>'FASE OFENSIVA'!AK11</f>
        <v>11</v>
      </c>
      <c r="H10" s="95">
        <f>'FASE OFENSIVA'!AL11</f>
        <v>11</v>
      </c>
      <c r="I10" s="99"/>
      <c r="L10" s="70">
        <v>1</v>
      </c>
      <c r="M10" s="85" t="s">
        <v>28</v>
      </c>
      <c r="N10" s="101">
        <v>11</v>
      </c>
      <c r="P10" s="70">
        <v>1</v>
      </c>
      <c r="Q10" s="85" t="s">
        <v>28</v>
      </c>
      <c r="R10" s="101">
        <v>11</v>
      </c>
      <c r="T10" s="70">
        <v>2</v>
      </c>
      <c r="U10" s="85" t="s">
        <v>28</v>
      </c>
      <c r="V10" s="101">
        <v>11</v>
      </c>
    </row>
    <row r="11" spans="1:22" x14ac:dyDescent="0.3">
      <c r="A11" s="85" t="str">
        <f>'FASE OFENSIVA'!A12</f>
        <v>LUCAS SENNA</v>
      </c>
      <c r="B11" s="95">
        <f>'FASE OFENSIVA'!AF12</f>
        <v>0</v>
      </c>
      <c r="C11" s="95">
        <f>'FASE OFENSIVA'!AG12</f>
        <v>0</v>
      </c>
      <c r="D11" s="95">
        <f>'FASE OFENSIVA'!AH12</f>
        <v>75</v>
      </c>
      <c r="E11" s="95">
        <f>'FASE OFENSIVA'!AI12</f>
        <v>11</v>
      </c>
      <c r="F11" s="95">
        <f>'FASE OFENSIVA'!AJ12</f>
        <v>11</v>
      </c>
      <c r="G11" s="95">
        <f>'FASE OFENSIVA'!AK12</f>
        <v>11</v>
      </c>
      <c r="H11" s="95">
        <f>'FASE OFENSIVA'!AL12</f>
        <v>11</v>
      </c>
      <c r="I11" s="99"/>
      <c r="L11" s="70">
        <v>1</v>
      </c>
      <c r="M11" s="85" t="s">
        <v>33</v>
      </c>
      <c r="N11" s="101">
        <v>11</v>
      </c>
      <c r="P11" s="70">
        <v>1</v>
      </c>
      <c r="Q11" s="85" t="s">
        <v>33</v>
      </c>
      <c r="R11" s="101">
        <v>11</v>
      </c>
      <c r="T11" s="70">
        <v>2</v>
      </c>
      <c r="U11" s="85" t="s">
        <v>25</v>
      </c>
      <c r="V11" s="101">
        <v>11</v>
      </c>
    </row>
    <row r="12" spans="1:22" x14ac:dyDescent="0.3">
      <c r="A12" s="85" t="str">
        <f>'FASE OFENSIVA'!A13</f>
        <v>GARCIA</v>
      </c>
      <c r="B12" s="95">
        <f>'FASE OFENSIVA'!AF13</f>
        <v>11</v>
      </c>
      <c r="C12" s="95">
        <f>'FASE OFENSIVA'!AG13</f>
        <v>11</v>
      </c>
      <c r="D12" s="95">
        <f>'FASE OFENSIVA'!AH13</f>
        <v>11</v>
      </c>
      <c r="E12" s="95">
        <f>'FASE OFENSIVA'!AI13</f>
        <v>11</v>
      </c>
      <c r="F12" s="95">
        <f>'FASE OFENSIVA'!AJ13</f>
        <v>11</v>
      </c>
      <c r="G12" s="95">
        <f>'FASE OFENSIVA'!AK13</f>
        <v>11</v>
      </c>
      <c r="H12" s="95">
        <f>'FASE OFENSIVA'!AL13</f>
        <v>11</v>
      </c>
      <c r="I12" s="99"/>
      <c r="L12" s="70">
        <v>1</v>
      </c>
      <c r="M12" s="85" t="s">
        <v>162</v>
      </c>
      <c r="N12" s="101">
        <v>11</v>
      </c>
      <c r="P12" s="70">
        <v>1</v>
      </c>
      <c r="Q12" s="85" t="s">
        <v>162</v>
      </c>
      <c r="R12" s="101">
        <v>11</v>
      </c>
      <c r="T12" s="70">
        <v>2</v>
      </c>
      <c r="U12" s="85" t="s">
        <v>33</v>
      </c>
      <c r="V12" s="101">
        <v>11</v>
      </c>
    </row>
    <row r="13" spans="1:22" x14ac:dyDescent="0.3">
      <c r="A13" s="85" t="str">
        <f>'FASE OFENSIVA'!A14</f>
        <v>FOGO</v>
      </c>
      <c r="B13" s="95">
        <f>'FASE OFENSIVA'!AF14</f>
        <v>11</v>
      </c>
      <c r="C13" s="95">
        <f>'FASE OFENSIVA'!AG14</f>
        <v>11</v>
      </c>
      <c r="D13" s="95">
        <f>'FASE OFENSIVA'!AH14</f>
        <v>11</v>
      </c>
      <c r="E13" s="95">
        <f>'FASE OFENSIVA'!AI14</f>
        <v>11</v>
      </c>
      <c r="F13" s="95">
        <f>'FASE OFENSIVA'!AJ14</f>
        <v>11</v>
      </c>
      <c r="G13" s="95">
        <f>'FASE OFENSIVA'!AK14</f>
        <v>11</v>
      </c>
      <c r="H13" s="95">
        <f>'FASE OFENSIVA'!AL14</f>
        <v>11</v>
      </c>
      <c r="I13" s="99"/>
      <c r="L13" s="70">
        <v>1</v>
      </c>
      <c r="M13" s="85" t="s">
        <v>32</v>
      </c>
      <c r="N13" s="101">
        <v>11</v>
      </c>
      <c r="P13" s="70">
        <v>1</v>
      </c>
      <c r="Q13" s="85" t="s">
        <v>32</v>
      </c>
      <c r="R13" s="101">
        <v>11</v>
      </c>
      <c r="T13" s="70">
        <v>2</v>
      </c>
      <c r="U13" s="85" t="s">
        <v>162</v>
      </c>
      <c r="V13" s="101">
        <v>11</v>
      </c>
    </row>
    <row r="14" spans="1:22" x14ac:dyDescent="0.3">
      <c r="A14" s="85" t="str">
        <f>'FASE OFENSIVA'!A15</f>
        <v>TITO</v>
      </c>
      <c r="B14" s="95">
        <f>'FASE OFENSIVA'!AF15</f>
        <v>11</v>
      </c>
      <c r="C14" s="95">
        <f>'FASE OFENSIVA'!AG15</f>
        <v>11</v>
      </c>
      <c r="D14" s="95">
        <f>'FASE OFENSIVA'!AH15</f>
        <v>11</v>
      </c>
      <c r="E14" s="95">
        <f>'FASE OFENSIVA'!AI15</f>
        <v>11</v>
      </c>
      <c r="F14" s="95">
        <f>'FASE OFENSIVA'!AJ15</f>
        <v>11</v>
      </c>
      <c r="G14" s="95">
        <f>'FASE OFENSIVA'!AK15</f>
        <v>11</v>
      </c>
      <c r="H14" s="95">
        <f>'FASE OFENSIVA'!AL15</f>
        <v>11</v>
      </c>
      <c r="I14" s="99"/>
      <c r="L14" s="70">
        <v>1</v>
      </c>
      <c r="M14" s="125" t="s">
        <v>34</v>
      </c>
      <c r="N14" s="101">
        <v>11</v>
      </c>
      <c r="P14" s="70">
        <v>1</v>
      </c>
      <c r="Q14" s="125" t="s">
        <v>34</v>
      </c>
      <c r="R14" s="101">
        <v>11</v>
      </c>
      <c r="T14" s="70">
        <v>2</v>
      </c>
      <c r="U14" s="125" t="s">
        <v>32</v>
      </c>
      <c r="V14" s="101">
        <v>11</v>
      </c>
    </row>
    <row r="15" spans="1:22" x14ac:dyDescent="0.3">
      <c r="A15" s="85" t="str">
        <f>'FASE OFENSIVA'!A16</f>
        <v>PIETRO</v>
      </c>
      <c r="B15" s="95">
        <f>'FASE OFENSIVA'!AF16</f>
        <v>11</v>
      </c>
      <c r="C15" s="95">
        <f>'FASE OFENSIVA'!AG16</f>
        <v>11</v>
      </c>
      <c r="D15" s="95">
        <f>'FASE OFENSIVA'!AH16</f>
        <v>11</v>
      </c>
      <c r="E15" s="95">
        <f>'FASE OFENSIVA'!AI16</f>
        <v>11</v>
      </c>
      <c r="F15" s="95">
        <f>'FASE OFENSIVA'!AJ16</f>
        <v>11</v>
      </c>
      <c r="G15" s="95">
        <f>'FASE OFENSIVA'!AK16</f>
        <v>11</v>
      </c>
      <c r="H15" s="95">
        <f>'FASE OFENSIVA'!AL16</f>
        <v>11</v>
      </c>
      <c r="I15" s="99"/>
      <c r="L15" s="70">
        <v>1</v>
      </c>
      <c r="M15" s="125" t="s">
        <v>36</v>
      </c>
      <c r="N15" s="101">
        <v>11</v>
      </c>
      <c r="P15" s="70">
        <v>1</v>
      </c>
      <c r="Q15" s="125" t="s">
        <v>36</v>
      </c>
      <c r="R15" s="101">
        <v>11</v>
      </c>
      <c r="T15" s="70">
        <v>2</v>
      </c>
      <c r="U15" s="125" t="s">
        <v>34</v>
      </c>
      <c r="V15" s="101">
        <v>11</v>
      </c>
    </row>
    <row r="16" spans="1:22" x14ac:dyDescent="0.3">
      <c r="A16" s="85" t="str">
        <f>'FASE OFENSIVA'!A17</f>
        <v>ALYSSON</v>
      </c>
      <c r="B16" s="95">
        <f>'FASE OFENSIVA'!AF17</f>
        <v>11</v>
      </c>
      <c r="C16" s="95">
        <f>'FASE OFENSIVA'!AG17</f>
        <v>11</v>
      </c>
      <c r="D16" s="95">
        <f>'FASE OFENSIVA'!AH17</f>
        <v>11</v>
      </c>
      <c r="E16" s="95">
        <f>'FASE OFENSIVA'!AI17</f>
        <v>11</v>
      </c>
      <c r="F16" s="95">
        <f>'FASE OFENSIVA'!AJ17</f>
        <v>11</v>
      </c>
      <c r="G16" s="95">
        <f>'FASE OFENSIVA'!AK17</f>
        <v>11</v>
      </c>
      <c r="H16" s="95">
        <f>'FASE OFENSIVA'!AL17</f>
        <v>11</v>
      </c>
      <c r="I16" s="99"/>
      <c r="L16" s="70">
        <v>1</v>
      </c>
      <c r="M16" s="125" t="s">
        <v>37</v>
      </c>
      <c r="N16" s="101">
        <v>11</v>
      </c>
      <c r="P16" s="70">
        <v>1</v>
      </c>
      <c r="Q16" s="125" t="s">
        <v>37</v>
      </c>
      <c r="R16" s="101">
        <v>11</v>
      </c>
      <c r="T16" s="70">
        <v>2</v>
      </c>
      <c r="U16" s="125" t="s">
        <v>36</v>
      </c>
      <c r="V16" s="101">
        <v>11</v>
      </c>
    </row>
    <row r="17" spans="1:22" x14ac:dyDescent="0.3">
      <c r="A17" s="85" t="str">
        <f>'FASE OFENSIVA'!A18</f>
        <v>LÉO ELIAS</v>
      </c>
      <c r="B17" s="95">
        <f>'FASE OFENSIVA'!AF18</f>
        <v>11</v>
      </c>
      <c r="C17" s="95">
        <f>'FASE OFENSIVA'!AG18</f>
        <v>11</v>
      </c>
      <c r="D17" s="95">
        <f>'FASE OFENSIVA'!AH18</f>
        <v>11</v>
      </c>
      <c r="E17" s="95">
        <f>'FASE OFENSIVA'!AI18</f>
        <v>11</v>
      </c>
      <c r="F17" s="95">
        <f>'FASE OFENSIVA'!AJ18</f>
        <v>11</v>
      </c>
      <c r="G17" s="95">
        <f>'FASE OFENSIVA'!AK18</f>
        <v>11</v>
      </c>
      <c r="H17" s="95">
        <f>'FASE OFENSIVA'!AL18</f>
        <v>11</v>
      </c>
      <c r="I17" s="99"/>
      <c r="L17" s="70">
        <v>1</v>
      </c>
      <c r="M17" s="125" t="s">
        <v>163</v>
      </c>
      <c r="N17" s="101">
        <v>11</v>
      </c>
      <c r="P17" s="70">
        <v>1</v>
      </c>
      <c r="Q17" s="125" t="s">
        <v>163</v>
      </c>
      <c r="R17" s="101">
        <v>11</v>
      </c>
      <c r="T17" s="70">
        <v>2</v>
      </c>
      <c r="U17" s="125" t="s">
        <v>37</v>
      </c>
      <c r="V17" s="101">
        <v>11</v>
      </c>
    </row>
    <row r="18" spans="1:22" x14ac:dyDescent="0.3">
      <c r="A18" s="85" t="str">
        <f>'FASE OFENSIVA'!A19</f>
        <v>LÉO RUDEK</v>
      </c>
      <c r="B18" s="95">
        <f>'FASE OFENSIVA'!AF19</f>
        <v>11</v>
      </c>
      <c r="C18" s="95">
        <f>'FASE OFENSIVA'!AG19</f>
        <v>11</v>
      </c>
      <c r="D18" s="95">
        <f>'FASE OFENSIVA'!AH19</f>
        <v>11</v>
      </c>
      <c r="E18" s="95">
        <f>'FASE OFENSIVA'!AI19</f>
        <v>11</v>
      </c>
      <c r="F18" s="95">
        <f>'FASE OFENSIVA'!AJ19</f>
        <v>11</v>
      </c>
      <c r="G18" s="95">
        <f>'FASE OFENSIVA'!AK19</f>
        <v>11</v>
      </c>
      <c r="H18" s="95">
        <f>'FASE OFENSIVA'!AL19</f>
        <v>11</v>
      </c>
      <c r="I18" s="99"/>
      <c r="L18" s="70">
        <v>1</v>
      </c>
      <c r="M18" s="125" t="s">
        <v>161</v>
      </c>
      <c r="N18" s="101">
        <v>11</v>
      </c>
      <c r="P18" s="70">
        <v>1</v>
      </c>
      <c r="Q18" s="125" t="s">
        <v>161</v>
      </c>
      <c r="R18" s="101">
        <v>11</v>
      </c>
      <c r="T18" s="70">
        <v>2</v>
      </c>
      <c r="U18" s="125" t="s">
        <v>163</v>
      </c>
      <c r="V18" s="101">
        <v>11</v>
      </c>
    </row>
    <row r="19" spans="1:22" x14ac:dyDescent="0.3">
      <c r="A19" s="85" t="str">
        <f>'FASE OFENSIVA'!A20</f>
        <v>BAISCH</v>
      </c>
      <c r="B19" s="95">
        <f>'FASE OFENSIVA'!AF20</f>
        <v>11</v>
      </c>
      <c r="C19" s="95">
        <f>'FASE OFENSIVA'!AG20</f>
        <v>11</v>
      </c>
      <c r="D19" s="95">
        <f>'FASE OFENSIVA'!AH20</f>
        <v>11</v>
      </c>
      <c r="E19" s="95">
        <f>'FASE OFENSIVA'!AI20</f>
        <v>11</v>
      </c>
      <c r="F19" s="95">
        <f>'FASE OFENSIVA'!AJ20</f>
        <v>11</v>
      </c>
      <c r="G19" s="95">
        <f>'FASE OFENSIVA'!AK20</f>
        <v>11</v>
      </c>
      <c r="H19" s="95">
        <f>'FASE OFENSIVA'!AL20</f>
        <v>11</v>
      </c>
      <c r="I19" s="99"/>
      <c r="L19" s="70">
        <v>2</v>
      </c>
      <c r="M19" s="125" t="s">
        <v>164</v>
      </c>
      <c r="N19" s="101">
        <v>0</v>
      </c>
      <c r="P19" s="70">
        <v>2</v>
      </c>
      <c r="Q19" s="125" t="s">
        <v>164</v>
      </c>
      <c r="R19" s="101">
        <v>0</v>
      </c>
      <c r="T19" s="70">
        <v>2</v>
      </c>
      <c r="U19" s="125" t="s">
        <v>161</v>
      </c>
      <c r="V19" s="101">
        <v>11</v>
      </c>
    </row>
    <row r="20" spans="1:22" ht="13.8" customHeight="1" x14ac:dyDescent="0.3">
      <c r="B20" s="96">
        <f t="shared" ref="B20:D20" si="0">AVERAGEIF(B4:B19,"&gt;-1",B4:B19)</f>
        <v>10.3125</v>
      </c>
      <c r="C20" s="96">
        <f t="shared" si="0"/>
        <v>10.3125</v>
      </c>
      <c r="D20" s="96">
        <f t="shared" si="0"/>
        <v>15</v>
      </c>
      <c r="E20" s="96">
        <f>AVERAGEIF(E4:E19,"&gt;-1",E4:E19)</f>
        <v>11</v>
      </c>
      <c r="F20" s="96">
        <f t="shared" ref="F20:H20" si="1">AVERAGEIF(F4:F19,"&gt;-1",F4:F19)</f>
        <v>11</v>
      </c>
      <c r="G20" s="96">
        <f t="shared" si="1"/>
        <v>11</v>
      </c>
      <c r="H20" s="96">
        <f t="shared" si="1"/>
        <v>11</v>
      </c>
      <c r="I20" s="96"/>
    </row>
    <row r="21" spans="1:22" ht="13.8" customHeight="1" x14ac:dyDescent="0.3">
      <c r="B21" s="88" t="s">
        <v>0</v>
      </c>
      <c r="C21" s="88" t="s">
        <v>132</v>
      </c>
      <c r="D21" s="88" t="s">
        <v>7</v>
      </c>
      <c r="E21" s="88" t="s">
        <v>115</v>
      </c>
      <c r="F21" s="88" t="s">
        <v>116</v>
      </c>
      <c r="G21" s="88" t="s">
        <v>134</v>
      </c>
      <c r="H21" s="88" t="s">
        <v>123</v>
      </c>
      <c r="I21" s="96"/>
    </row>
    <row r="22" spans="1:22" x14ac:dyDescent="0.3">
      <c r="A22" s="118" t="str">
        <f>'FASE OFENSIVA'!A5</f>
        <v>MATEUS</v>
      </c>
      <c r="B22" s="119">
        <f>INDEX($L$4:$M$19,MATCH(A4,M$4:M$19,0),1)</f>
        <v>1</v>
      </c>
      <c r="C22" s="119">
        <f>INDEX($P$4:$Q$19,MATCH(A4,$Q$4:$Q$19,0),1)</f>
        <v>1</v>
      </c>
      <c r="D22" s="119">
        <f>INDEX($T$4:$U$19,MATCH(A4,$U$4:$U$19,0),1)</f>
        <v>2</v>
      </c>
      <c r="E22" s="119">
        <f>INDEX($L$25:$M$40,MATCH(A4,$M$25:$M$40,0),1)</f>
        <v>1</v>
      </c>
      <c r="F22" s="119">
        <f>INDEX($P$25:$Q$40,MATCH(A4,$Q$25:$Q$40,0),1)</f>
        <v>1</v>
      </c>
      <c r="G22" s="119">
        <f>INDEX($L$46:$M$61,MATCH(A4,$M$46:$M$61,0),1)</f>
        <v>1</v>
      </c>
      <c r="H22" s="119">
        <f>INDEX($P$46:$Q$61,MATCH(A4,$Q$46:$Q$61,0),1)</f>
        <v>1</v>
      </c>
      <c r="L22" s="185" t="s">
        <v>103</v>
      </c>
      <c r="M22" s="185"/>
      <c r="N22" s="185" t="s">
        <v>15</v>
      </c>
      <c r="P22" s="185" t="s">
        <v>103</v>
      </c>
      <c r="Q22" s="185"/>
      <c r="R22" s="185" t="s">
        <v>15</v>
      </c>
    </row>
    <row r="23" spans="1:22" x14ac:dyDescent="0.3">
      <c r="A23" s="118" t="str">
        <f>'FASE OFENSIVA'!A6</f>
        <v>RAFINHA</v>
      </c>
      <c r="B23" s="119">
        <f t="shared" ref="B23:B37" si="2">INDEX($L$4:$M$19,MATCH(A5,M$4:M$19,0),1)</f>
        <v>1</v>
      </c>
      <c r="C23" s="119">
        <f t="shared" ref="C23:C37" si="3">INDEX($P$4:$Q$19,MATCH(A5,$Q$4:$Q$19,0),1)</f>
        <v>1</v>
      </c>
      <c r="D23" s="119">
        <f t="shared" ref="D23:D37" si="4">INDEX($T$4:$U$19,MATCH(A5,$U$4:$U$19,0),1)</f>
        <v>2</v>
      </c>
      <c r="E23" s="119">
        <f t="shared" ref="E23:E37" si="5">INDEX($L$25:$M$40,MATCH(A5,$M$25:$M$40,0),1)</f>
        <v>1</v>
      </c>
      <c r="F23" s="119">
        <f t="shared" ref="F23:F37" si="6">INDEX($P$25:$Q$40,MATCH(A5,$Q$25:$Q$40,0),1)</f>
        <v>1</v>
      </c>
      <c r="G23" s="119">
        <f t="shared" ref="G23:G37" si="7">INDEX($L$46:$M$61,MATCH(A5,$M$46:$M$61,0),1)</f>
        <v>1</v>
      </c>
      <c r="H23" s="119">
        <f t="shared" ref="H23:H37" si="8">INDEX($P$46:$Q$61,MATCH(A5,$Q$46:$Q$61,0),1)</f>
        <v>1</v>
      </c>
      <c r="L23" s="206" t="s">
        <v>141</v>
      </c>
      <c r="M23" s="206"/>
      <c r="N23" s="206"/>
      <c r="P23" s="206" t="s">
        <v>142</v>
      </c>
      <c r="Q23" s="206"/>
      <c r="R23" s="206"/>
    </row>
    <row r="24" spans="1:22" x14ac:dyDescent="0.3">
      <c r="A24" s="118" t="str">
        <f>'FASE OFENSIVA'!A7</f>
        <v>TARIQ</v>
      </c>
      <c r="B24" s="119">
        <f t="shared" si="2"/>
        <v>1</v>
      </c>
      <c r="C24" s="119">
        <f t="shared" si="3"/>
        <v>1</v>
      </c>
      <c r="D24" s="119">
        <f t="shared" si="4"/>
        <v>2</v>
      </c>
      <c r="E24" s="119">
        <f t="shared" si="5"/>
        <v>1</v>
      </c>
      <c r="F24" s="119">
        <f t="shared" si="6"/>
        <v>1</v>
      </c>
      <c r="G24" s="119">
        <f t="shared" si="7"/>
        <v>1</v>
      </c>
      <c r="H24" s="119">
        <f t="shared" si="8"/>
        <v>1</v>
      </c>
      <c r="L24" s="66" t="s">
        <v>110</v>
      </c>
      <c r="M24" s="67" t="s">
        <v>112</v>
      </c>
      <c r="N24" s="66" t="s">
        <v>111</v>
      </c>
      <c r="P24" s="66" t="s">
        <v>110</v>
      </c>
      <c r="Q24" s="67" t="s">
        <v>112</v>
      </c>
      <c r="R24" s="66" t="s">
        <v>111</v>
      </c>
    </row>
    <row r="25" spans="1:22" x14ac:dyDescent="0.3">
      <c r="A25" s="118" t="str">
        <f>'FASE OFENSIVA'!A8</f>
        <v>TETEU</v>
      </c>
      <c r="B25" s="119">
        <f t="shared" si="2"/>
        <v>1</v>
      </c>
      <c r="C25" s="119">
        <f t="shared" si="3"/>
        <v>1</v>
      </c>
      <c r="D25" s="119">
        <f t="shared" si="4"/>
        <v>2</v>
      </c>
      <c r="E25" s="119">
        <f t="shared" si="5"/>
        <v>1</v>
      </c>
      <c r="F25" s="119">
        <f t="shared" si="6"/>
        <v>1</v>
      </c>
      <c r="G25" s="119">
        <f t="shared" si="7"/>
        <v>1</v>
      </c>
      <c r="H25" s="119">
        <f t="shared" si="8"/>
        <v>1</v>
      </c>
      <c r="L25" s="70">
        <v>1</v>
      </c>
      <c r="M25" s="116" t="s">
        <v>25</v>
      </c>
      <c r="N25" s="117">
        <v>11</v>
      </c>
      <c r="P25" s="70">
        <v>1</v>
      </c>
      <c r="Q25" s="116" t="s">
        <v>25</v>
      </c>
      <c r="R25" s="117">
        <v>11</v>
      </c>
    </row>
    <row r="26" spans="1:22" x14ac:dyDescent="0.3">
      <c r="A26" s="118" t="str">
        <f>'FASE OFENSIVA'!A9</f>
        <v>LORENZO</v>
      </c>
      <c r="B26" s="119">
        <f t="shared" si="2"/>
        <v>1</v>
      </c>
      <c r="C26" s="119">
        <f t="shared" si="3"/>
        <v>1</v>
      </c>
      <c r="D26" s="119">
        <f t="shared" si="4"/>
        <v>2</v>
      </c>
      <c r="E26" s="119">
        <f t="shared" si="5"/>
        <v>1</v>
      </c>
      <c r="F26" s="119">
        <f t="shared" si="6"/>
        <v>1</v>
      </c>
      <c r="G26" s="119">
        <f t="shared" si="7"/>
        <v>1</v>
      </c>
      <c r="H26" s="119">
        <f t="shared" si="8"/>
        <v>1</v>
      </c>
      <c r="L26" s="70">
        <v>1</v>
      </c>
      <c r="M26" s="116" t="s">
        <v>26</v>
      </c>
      <c r="N26" s="117">
        <v>11</v>
      </c>
      <c r="P26" s="70">
        <v>1</v>
      </c>
      <c r="Q26" s="116" t="s">
        <v>26</v>
      </c>
      <c r="R26" s="117">
        <v>11</v>
      </c>
    </row>
    <row r="27" spans="1:22" x14ac:dyDescent="0.3">
      <c r="A27" s="118" t="str">
        <f>'FASE OFENSIVA'!A10</f>
        <v>PEPO</v>
      </c>
      <c r="B27" s="119">
        <f t="shared" si="2"/>
        <v>1</v>
      </c>
      <c r="C27" s="119">
        <f t="shared" si="3"/>
        <v>1</v>
      </c>
      <c r="D27" s="119">
        <f t="shared" si="4"/>
        <v>2</v>
      </c>
      <c r="E27" s="119">
        <f t="shared" si="5"/>
        <v>1</v>
      </c>
      <c r="F27" s="119">
        <f t="shared" si="6"/>
        <v>1</v>
      </c>
      <c r="G27" s="119">
        <f t="shared" si="7"/>
        <v>1</v>
      </c>
      <c r="H27" s="119">
        <f t="shared" si="8"/>
        <v>1</v>
      </c>
      <c r="L27" s="70">
        <v>1</v>
      </c>
      <c r="M27" s="116" t="s">
        <v>24</v>
      </c>
      <c r="N27" s="117">
        <v>11</v>
      </c>
      <c r="P27" s="70">
        <v>1</v>
      </c>
      <c r="Q27" s="116" t="s">
        <v>24</v>
      </c>
      <c r="R27" s="117">
        <v>11</v>
      </c>
    </row>
    <row r="28" spans="1:22" x14ac:dyDescent="0.3">
      <c r="A28" s="118" t="str">
        <f>'FASE OFENSIVA'!A11</f>
        <v>ROGÉRIO</v>
      </c>
      <c r="B28" s="119">
        <f t="shared" si="2"/>
        <v>1</v>
      </c>
      <c r="C28" s="119">
        <f t="shared" si="3"/>
        <v>1</v>
      </c>
      <c r="D28" s="119">
        <f t="shared" si="4"/>
        <v>2</v>
      </c>
      <c r="E28" s="119">
        <f t="shared" si="5"/>
        <v>1</v>
      </c>
      <c r="F28" s="119">
        <f t="shared" si="6"/>
        <v>1</v>
      </c>
      <c r="G28" s="119">
        <f t="shared" si="7"/>
        <v>1</v>
      </c>
      <c r="H28" s="119">
        <f t="shared" si="8"/>
        <v>1</v>
      </c>
      <c r="L28" s="70">
        <v>1</v>
      </c>
      <c r="M28" s="116" t="s">
        <v>27</v>
      </c>
      <c r="N28" s="117">
        <v>11</v>
      </c>
      <c r="P28" s="70">
        <v>1</v>
      </c>
      <c r="Q28" s="116" t="s">
        <v>27</v>
      </c>
      <c r="R28" s="117">
        <v>11</v>
      </c>
    </row>
    <row r="29" spans="1:22" x14ac:dyDescent="0.3">
      <c r="A29" s="118" t="str">
        <f>'FASE OFENSIVA'!A12</f>
        <v>LUCAS SENNA</v>
      </c>
      <c r="B29" s="119">
        <f t="shared" si="2"/>
        <v>2</v>
      </c>
      <c r="C29" s="119">
        <f t="shared" si="3"/>
        <v>2</v>
      </c>
      <c r="D29" s="119">
        <f t="shared" si="4"/>
        <v>1</v>
      </c>
      <c r="E29" s="119">
        <f t="shared" si="5"/>
        <v>1</v>
      </c>
      <c r="F29" s="119">
        <f t="shared" si="6"/>
        <v>1</v>
      </c>
      <c r="G29" s="119">
        <f t="shared" si="7"/>
        <v>1</v>
      </c>
      <c r="H29" s="119">
        <f t="shared" si="8"/>
        <v>1</v>
      </c>
      <c r="L29" s="70">
        <v>1</v>
      </c>
      <c r="M29" s="85" t="s">
        <v>31</v>
      </c>
      <c r="N29" s="117">
        <v>11</v>
      </c>
      <c r="P29" s="70">
        <v>1</v>
      </c>
      <c r="Q29" s="85" t="s">
        <v>31</v>
      </c>
      <c r="R29" s="117">
        <v>11</v>
      </c>
    </row>
    <row r="30" spans="1:22" x14ac:dyDescent="0.3">
      <c r="A30" s="118" t="str">
        <f>'FASE OFENSIVA'!A13</f>
        <v>GARCIA</v>
      </c>
      <c r="B30" s="119">
        <f t="shared" si="2"/>
        <v>1</v>
      </c>
      <c r="C30" s="119">
        <f t="shared" si="3"/>
        <v>1</v>
      </c>
      <c r="D30" s="119">
        <f t="shared" si="4"/>
        <v>2</v>
      </c>
      <c r="E30" s="119">
        <f t="shared" si="5"/>
        <v>1</v>
      </c>
      <c r="F30" s="119">
        <f t="shared" si="6"/>
        <v>1</v>
      </c>
      <c r="G30" s="119">
        <f t="shared" si="7"/>
        <v>1</v>
      </c>
      <c r="H30" s="119">
        <f t="shared" si="8"/>
        <v>1</v>
      </c>
      <c r="L30" s="70">
        <v>1</v>
      </c>
      <c r="M30" s="85" t="s">
        <v>29</v>
      </c>
      <c r="N30" s="117">
        <v>11</v>
      </c>
      <c r="P30" s="70">
        <v>1</v>
      </c>
      <c r="Q30" s="85" t="s">
        <v>29</v>
      </c>
      <c r="R30" s="117">
        <v>11</v>
      </c>
    </row>
    <row r="31" spans="1:22" x14ac:dyDescent="0.3">
      <c r="A31" s="118" t="str">
        <f>'FASE OFENSIVA'!A14</f>
        <v>FOGO</v>
      </c>
      <c r="B31" s="119">
        <f t="shared" si="2"/>
        <v>1</v>
      </c>
      <c r="C31" s="119">
        <f t="shared" si="3"/>
        <v>1</v>
      </c>
      <c r="D31" s="119">
        <f t="shared" si="4"/>
        <v>2</v>
      </c>
      <c r="E31" s="119">
        <f t="shared" si="5"/>
        <v>1</v>
      </c>
      <c r="F31" s="119">
        <f t="shared" si="6"/>
        <v>1</v>
      </c>
      <c r="G31" s="119">
        <f t="shared" si="7"/>
        <v>1</v>
      </c>
      <c r="H31" s="119">
        <f t="shared" si="8"/>
        <v>1</v>
      </c>
      <c r="L31" s="70">
        <v>1</v>
      </c>
      <c r="M31" s="85" t="s">
        <v>28</v>
      </c>
      <c r="N31" s="117">
        <v>11</v>
      </c>
      <c r="P31" s="70">
        <v>1</v>
      </c>
      <c r="Q31" s="85" t="s">
        <v>28</v>
      </c>
      <c r="R31" s="117">
        <v>11</v>
      </c>
    </row>
    <row r="32" spans="1:22" x14ac:dyDescent="0.3">
      <c r="A32" s="118" t="str">
        <f>'FASE OFENSIVA'!A15</f>
        <v>TITO</v>
      </c>
      <c r="B32" s="119">
        <f t="shared" si="2"/>
        <v>1</v>
      </c>
      <c r="C32" s="119">
        <f t="shared" si="3"/>
        <v>1</v>
      </c>
      <c r="D32" s="119">
        <f t="shared" si="4"/>
        <v>2</v>
      </c>
      <c r="E32" s="119">
        <f t="shared" si="5"/>
        <v>1</v>
      </c>
      <c r="F32" s="119">
        <f t="shared" si="6"/>
        <v>1</v>
      </c>
      <c r="G32" s="119">
        <f t="shared" si="7"/>
        <v>1</v>
      </c>
      <c r="H32" s="119">
        <f t="shared" si="8"/>
        <v>1</v>
      </c>
      <c r="L32" s="70">
        <v>1</v>
      </c>
      <c r="M32" s="85" t="s">
        <v>164</v>
      </c>
      <c r="N32" s="117">
        <v>11</v>
      </c>
      <c r="P32" s="70">
        <v>1</v>
      </c>
      <c r="Q32" s="85" t="s">
        <v>164</v>
      </c>
      <c r="R32" s="117">
        <v>11</v>
      </c>
    </row>
    <row r="33" spans="1:18" x14ac:dyDescent="0.3">
      <c r="A33" s="118" t="str">
        <f>'FASE OFENSIVA'!A16</f>
        <v>PIETRO</v>
      </c>
      <c r="B33" s="119">
        <f t="shared" si="2"/>
        <v>1</v>
      </c>
      <c r="C33" s="119">
        <f t="shared" si="3"/>
        <v>1</v>
      </c>
      <c r="D33" s="119">
        <f t="shared" si="4"/>
        <v>2</v>
      </c>
      <c r="E33" s="119">
        <f t="shared" si="5"/>
        <v>1</v>
      </c>
      <c r="F33" s="119">
        <f t="shared" si="6"/>
        <v>1</v>
      </c>
      <c r="G33" s="119">
        <f t="shared" si="7"/>
        <v>1</v>
      </c>
      <c r="H33" s="119">
        <f t="shared" si="8"/>
        <v>1</v>
      </c>
      <c r="L33" s="70">
        <v>1</v>
      </c>
      <c r="M33" s="85" t="s">
        <v>33</v>
      </c>
      <c r="N33" s="117">
        <v>11</v>
      </c>
      <c r="P33" s="70">
        <v>1</v>
      </c>
      <c r="Q33" s="85" t="s">
        <v>33</v>
      </c>
      <c r="R33" s="117">
        <v>11</v>
      </c>
    </row>
    <row r="34" spans="1:18" x14ac:dyDescent="0.3">
      <c r="A34" s="118" t="str">
        <f>'FASE OFENSIVA'!A17</f>
        <v>ALYSSON</v>
      </c>
      <c r="B34" s="119">
        <f t="shared" si="2"/>
        <v>1</v>
      </c>
      <c r="C34" s="119">
        <f t="shared" si="3"/>
        <v>1</v>
      </c>
      <c r="D34" s="119">
        <f t="shared" si="4"/>
        <v>2</v>
      </c>
      <c r="E34" s="119">
        <f t="shared" si="5"/>
        <v>1</v>
      </c>
      <c r="F34" s="119">
        <f t="shared" si="6"/>
        <v>1</v>
      </c>
      <c r="G34" s="119">
        <f t="shared" si="7"/>
        <v>1</v>
      </c>
      <c r="H34" s="119">
        <f t="shared" si="8"/>
        <v>1</v>
      </c>
      <c r="L34" s="70">
        <v>1</v>
      </c>
      <c r="M34" s="85" t="s">
        <v>162</v>
      </c>
      <c r="N34" s="117">
        <v>11</v>
      </c>
      <c r="P34" s="70">
        <v>1</v>
      </c>
      <c r="Q34" s="85" t="s">
        <v>162</v>
      </c>
      <c r="R34" s="117">
        <v>11</v>
      </c>
    </row>
    <row r="35" spans="1:18" x14ac:dyDescent="0.3">
      <c r="A35" s="118" t="str">
        <f>'FASE OFENSIVA'!A18</f>
        <v>LÉO ELIAS</v>
      </c>
      <c r="B35" s="119">
        <f t="shared" si="2"/>
        <v>1</v>
      </c>
      <c r="C35" s="119">
        <f t="shared" si="3"/>
        <v>1</v>
      </c>
      <c r="D35" s="119">
        <f t="shared" si="4"/>
        <v>2</v>
      </c>
      <c r="E35" s="119">
        <f t="shared" si="5"/>
        <v>1</v>
      </c>
      <c r="F35" s="119">
        <f t="shared" si="6"/>
        <v>1</v>
      </c>
      <c r="G35" s="119">
        <f t="shared" si="7"/>
        <v>1</v>
      </c>
      <c r="H35" s="119">
        <f t="shared" si="8"/>
        <v>1</v>
      </c>
      <c r="L35" s="70">
        <v>1</v>
      </c>
      <c r="M35" s="124" t="s">
        <v>32</v>
      </c>
      <c r="N35" s="117">
        <v>11</v>
      </c>
      <c r="P35" s="70">
        <v>1</v>
      </c>
      <c r="Q35" s="124" t="s">
        <v>32</v>
      </c>
      <c r="R35" s="117">
        <v>11</v>
      </c>
    </row>
    <row r="36" spans="1:18" x14ac:dyDescent="0.3">
      <c r="A36" s="118" t="str">
        <f>'FASE OFENSIVA'!A19</f>
        <v>LÉO RUDEK</v>
      </c>
      <c r="B36" s="119">
        <f t="shared" si="2"/>
        <v>1</v>
      </c>
      <c r="C36" s="119">
        <f t="shared" si="3"/>
        <v>1</v>
      </c>
      <c r="D36" s="119">
        <f t="shared" si="4"/>
        <v>2</v>
      </c>
      <c r="E36" s="119">
        <f t="shared" si="5"/>
        <v>1</v>
      </c>
      <c r="F36" s="119">
        <f t="shared" si="6"/>
        <v>1</v>
      </c>
      <c r="G36" s="119">
        <f t="shared" si="7"/>
        <v>1</v>
      </c>
      <c r="H36" s="119">
        <f t="shared" si="8"/>
        <v>1</v>
      </c>
      <c r="L36" s="70">
        <v>1</v>
      </c>
      <c r="M36" s="124" t="s">
        <v>34</v>
      </c>
      <c r="N36" s="117">
        <v>11</v>
      </c>
      <c r="P36" s="70">
        <v>1</v>
      </c>
      <c r="Q36" s="124" t="s">
        <v>34</v>
      </c>
      <c r="R36" s="117">
        <v>11</v>
      </c>
    </row>
    <row r="37" spans="1:18" x14ac:dyDescent="0.3">
      <c r="A37" s="118" t="str">
        <f>'FASE OFENSIVA'!A20</f>
        <v>BAISCH</v>
      </c>
      <c r="B37" s="119">
        <f t="shared" si="2"/>
        <v>1</v>
      </c>
      <c r="C37" s="119">
        <f t="shared" si="3"/>
        <v>1</v>
      </c>
      <c r="D37" s="119">
        <f t="shared" si="4"/>
        <v>2</v>
      </c>
      <c r="E37" s="119">
        <f t="shared" si="5"/>
        <v>1</v>
      </c>
      <c r="F37" s="119">
        <f t="shared" si="6"/>
        <v>1</v>
      </c>
      <c r="G37" s="119">
        <f t="shared" si="7"/>
        <v>1</v>
      </c>
      <c r="H37" s="119">
        <f t="shared" si="8"/>
        <v>1</v>
      </c>
      <c r="L37" s="70">
        <v>1</v>
      </c>
      <c r="M37" s="124" t="s">
        <v>36</v>
      </c>
      <c r="N37" s="117">
        <v>11</v>
      </c>
      <c r="P37" s="70">
        <v>1</v>
      </c>
      <c r="Q37" s="124" t="s">
        <v>36</v>
      </c>
      <c r="R37" s="117">
        <v>11</v>
      </c>
    </row>
    <row r="38" spans="1:18" x14ac:dyDescent="0.3">
      <c r="L38" s="70">
        <v>1</v>
      </c>
      <c r="M38" s="124" t="s">
        <v>37</v>
      </c>
      <c r="N38" s="117">
        <v>11</v>
      </c>
      <c r="P38" s="70">
        <v>1</v>
      </c>
      <c r="Q38" s="124" t="s">
        <v>37</v>
      </c>
      <c r="R38" s="117">
        <v>11</v>
      </c>
    </row>
    <row r="39" spans="1:18" x14ac:dyDescent="0.3">
      <c r="A39" s="118" t="str">
        <f>'FASE OFENSIVA'!A5</f>
        <v>MATEUS</v>
      </c>
      <c r="B39" s="96">
        <f>SUM(B22:H22)</f>
        <v>8</v>
      </c>
      <c r="C39" s="96">
        <f>103-B39</f>
        <v>95</v>
      </c>
      <c r="L39" s="70">
        <v>1</v>
      </c>
      <c r="M39" s="124" t="s">
        <v>163</v>
      </c>
      <c r="N39" s="117">
        <v>11</v>
      </c>
      <c r="P39" s="70">
        <v>1</v>
      </c>
      <c r="Q39" s="124" t="s">
        <v>163</v>
      </c>
      <c r="R39" s="117">
        <v>11</v>
      </c>
    </row>
    <row r="40" spans="1:18" x14ac:dyDescent="0.3">
      <c r="A40" s="118" t="str">
        <f>'FASE OFENSIVA'!A6</f>
        <v>RAFINHA</v>
      </c>
      <c r="B40" s="96">
        <f t="shared" ref="B40:B54" si="9">SUM(B23:H23)</f>
        <v>8</v>
      </c>
      <c r="C40" s="96">
        <f t="shared" ref="C40:C54" si="10">103-B40</f>
        <v>95</v>
      </c>
      <c r="L40" s="70">
        <v>1</v>
      </c>
      <c r="M40" s="124" t="s">
        <v>161</v>
      </c>
      <c r="N40" s="117">
        <v>11</v>
      </c>
      <c r="P40" s="70">
        <v>1</v>
      </c>
      <c r="Q40" s="124" t="s">
        <v>161</v>
      </c>
      <c r="R40" s="117">
        <v>11</v>
      </c>
    </row>
    <row r="41" spans="1:18" x14ac:dyDescent="0.3">
      <c r="A41" s="118" t="str">
        <f>'FASE OFENSIVA'!A7</f>
        <v>TARIQ</v>
      </c>
      <c r="B41" s="96">
        <f t="shared" si="9"/>
        <v>8</v>
      </c>
      <c r="C41" s="96">
        <f t="shared" si="10"/>
        <v>95</v>
      </c>
    </row>
    <row r="42" spans="1:18" x14ac:dyDescent="0.3">
      <c r="A42" s="118" t="str">
        <f>'FASE OFENSIVA'!A8</f>
        <v>TETEU</v>
      </c>
      <c r="B42" s="96">
        <f t="shared" si="9"/>
        <v>8</v>
      </c>
      <c r="C42" s="96">
        <f t="shared" si="10"/>
        <v>95</v>
      </c>
    </row>
    <row r="43" spans="1:18" x14ac:dyDescent="0.3">
      <c r="A43" s="118" t="str">
        <f>'FASE OFENSIVA'!A9</f>
        <v>LORENZO</v>
      </c>
      <c r="B43" s="96">
        <f t="shared" si="9"/>
        <v>8</v>
      </c>
      <c r="C43" s="96">
        <f t="shared" si="10"/>
        <v>95</v>
      </c>
      <c r="L43" s="185" t="s">
        <v>103</v>
      </c>
      <c r="M43" s="185"/>
      <c r="N43" s="185" t="s">
        <v>15</v>
      </c>
      <c r="P43" s="185" t="s">
        <v>103</v>
      </c>
      <c r="Q43" s="185"/>
      <c r="R43" s="185" t="s">
        <v>15</v>
      </c>
    </row>
    <row r="44" spans="1:18" x14ac:dyDescent="0.3">
      <c r="A44" s="118" t="str">
        <f>'FASE OFENSIVA'!A10</f>
        <v>PEPO</v>
      </c>
      <c r="B44" s="96">
        <f t="shared" si="9"/>
        <v>8</v>
      </c>
      <c r="C44" s="96">
        <f t="shared" si="10"/>
        <v>95</v>
      </c>
      <c r="L44" s="207" t="s">
        <v>149</v>
      </c>
      <c r="M44" s="207"/>
      <c r="N44" s="207"/>
      <c r="P44" s="207" t="s">
        <v>150</v>
      </c>
      <c r="Q44" s="207"/>
      <c r="R44" s="207"/>
    </row>
    <row r="45" spans="1:18" x14ac:dyDescent="0.3">
      <c r="A45" s="118" t="str">
        <f>'FASE OFENSIVA'!A11</f>
        <v>ROGÉRIO</v>
      </c>
      <c r="B45" s="96">
        <f t="shared" si="9"/>
        <v>8</v>
      </c>
      <c r="C45" s="96">
        <f t="shared" si="10"/>
        <v>95</v>
      </c>
      <c r="L45" s="66" t="s">
        <v>110</v>
      </c>
      <c r="M45" s="67" t="s">
        <v>112</v>
      </c>
      <c r="N45" s="66" t="s">
        <v>111</v>
      </c>
      <c r="P45" s="66" t="s">
        <v>110</v>
      </c>
      <c r="Q45" s="67" t="s">
        <v>112</v>
      </c>
      <c r="R45" s="66" t="s">
        <v>111</v>
      </c>
    </row>
    <row r="46" spans="1:18" x14ac:dyDescent="0.3">
      <c r="A46" s="118" t="str">
        <f>'FASE OFENSIVA'!A12</f>
        <v>LUCAS SENNA</v>
      </c>
      <c r="B46" s="96">
        <f t="shared" si="9"/>
        <v>9</v>
      </c>
      <c r="C46" s="96">
        <f t="shared" si="10"/>
        <v>94</v>
      </c>
      <c r="L46" s="70">
        <v>1</v>
      </c>
      <c r="M46" s="116" t="s">
        <v>25</v>
      </c>
      <c r="N46" s="117">
        <v>11</v>
      </c>
      <c r="P46" s="70">
        <v>1</v>
      </c>
      <c r="Q46" s="116" t="s">
        <v>25</v>
      </c>
      <c r="R46" s="117">
        <v>11</v>
      </c>
    </row>
    <row r="47" spans="1:18" x14ac:dyDescent="0.3">
      <c r="A47" s="118" t="str">
        <f>'FASE OFENSIVA'!A13</f>
        <v>GARCIA</v>
      </c>
      <c r="B47" s="96">
        <f t="shared" si="9"/>
        <v>8</v>
      </c>
      <c r="C47" s="96">
        <f t="shared" si="10"/>
        <v>95</v>
      </c>
      <c r="L47" s="70">
        <v>1</v>
      </c>
      <c r="M47" s="116" t="s">
        <v>26</v>
      </c>
      <c r="N47" s="117">
        <v>11</v>
      </c>
      <c r="P47" s="70">
        <v>1</v>
      </c>
      <c r="Q47" s="116" t="s">
        <v>26</v>
      </c>
      <c r="R47" s="117">
        <v>11</v>
      </c>
    </row>
    <row r="48" spans="1:18" x14ac:dyDescent="0.3">
      <c r="A48" s="118" t="str">
        <f>'FASE OFENSIVA'!A14</f>
        <v>FOGO</v>
      </c>
      <c r="B48" s="96">
        <f t="shared" si="9"/>
        <v>8</v>
      </c>
      <c r="C48" s="96">
        <f t="shared" si="10"/>
        <v>95</v>
      </c>
      <c r="L48" s="70">
        <v>1</v>
      </c>
      <c r="M48" s="116" t="s">
        <v>24</v>
      </c>
      <c r="N48" s="117">
        <v>11</v>
      </c>
      <c r="P48" s="70">
        <v>1</v>
      </c>
      <c r="Q48" s="116" t="s">
        <v>24</v>
      </c>
      <c r="R48" s="117">
        <v>11</v>
      </c>
    </row>
    <row r="49" spans="1:18" x14ac:dyDescent="0.3">
      <c r="A49" s="118" t="str">
        <f>'FASE OFENSIVA'!A15</f>
        <v>TITO</v>
      </c>
      <c r="B49" s="96">
        <f t="shared" si="9"/>
        <v>8</v>
      </c>
      <c r="C49" s="96">
        <f t="shared" si="10"/>
        <v>95</v>
      </c>
      <c r="L49" s="70">
        <v>1</v>
      </c>
      <c r="M49" s="116" t="s">
        <v>27</v>
      </c>
      <c r="N49" s="117">
        <v>11</v>
      </c>
      <c r="P49" s="70">
        <v>1</v>
      </c>
      <c r="Q49" s="116" t="s">
        <v>27</v>
      </c>
      <c r="R49" s="117">
        <v>11</v>
      </c>
    </row>
    <row r="50" spans="1:18" x14ac:dyDescent="0.3">
      <c r="A50" s="118" t="str">
        <f>'FASE OFENSIVA'!A16</f>
        <v>PIETRO</v>
      </c>
      <c r="B50" s="96">
        <f t="shared" si="9"/>
        <v>8</v>
      </c>
      <c r="C50" s="96">
        <f t="shared" si="10"/>
        <v>95</v>
      </c>
      <c r="L50" s="70">
        <v>1</v>
      </c>
      <c r="M50" s="85" t="s">
        <v>31</v>
      </c>
      <c r="N50" s="117">
        <v>11</v>
      </c>
      <c r="P50" s="70">
        <v>1</v>
      </c>
      <c r="Q50" s="85" t="s">
        <v>31</v>
      </c>
      <c r="R50" s="117">
        <v>11</v>
      </c>
    </row>
    <row r="51" spans="1:18" x14ac:dyDescent="0.3">
      <c r="A51" s="118" t="str">
        <f>'FASE OFENSIVA'!A17</f>
        <v>ALYSSON</v>
      </c>
      <c r="B51" s="96">
        <f t="shared" si="9"/>
        <v>8</v>
      </c>
      <c r="C51" s="96">
        <f t="shared" si="10"/>
        <v>95</v>
      </c>
      <c r="L51" s="70">
        <v>1</v>
      </c>
      <c r="M51" s="85" t="s">
        <v>29</v>
      </c>
      <c r="N51" s="117">
        <v>11</v>
      </c>
      <c r="P51" s="70">
        <v>1</v>
      </c>
      <c r="Q51" s="85" t="s">
        <v>29</v>
      </c>
      <c r="R51" s="117">
        <v>11</v>
      </c>
    </row>
    <row r="52" spans="1:18" x14ac:dyDescent="0.3">
      <c r="A52" s="118" t="str">
        <f>'FASE OFENSIVA'!A18</f>
        <v>LÉO ELIAS</v>
      </c>
      <c r="B52" s="96">
        <f t="shared" si="9"/>
        <v>8</v>
      </c>
      <c r="C52" s="96">
        <f t="shared" si="10"/>
        <v>95</v>
      </c>
      <c r="L52" s="70">
        <v>1</v>
      </c>
      <c r="M52" s="85" t="s">
        <v>28</v>
      </c>
      <c r="N52" s="117">
        <v>11</v>
      </c>
      <c r="P52" s="70">
        <v>1</v>
      </c>
      <c r="Q52" s="85" t="s">
        <v>28</v>
      </c>
      <c r="R52" s="117">
        <v>11</v>
      </c>
    </row>
    <row r="53" spans="1:18" x14ac:dyDescent="0.3">
      <c r="A53" s="118" t="str">
        <f>'FASE OFENSIVA'!A19</f>
        <v>LÉO RUDEK</v>
      </c>
      <c r="B53" s="96">
        <f t="shared" si="9"/>
        <v>8</v>
      </c>
      <c r="C53" s="96">
        <f t="shared" si="10"/>
        <v>95</v>
      </c>
      <c r="L53" s="70">
        <v>1</v>
      </c>
      <c r="M53" s="85" t="s">
        <v>164</v>
      </c>
      <c r="N53" s="117">
        <v>11</v>
      </c>
      <c r="P53" s="70">
        <v>1</v>
      </c>
      <c r="Q53" s="85" t="s">
        <v>164</v>
      </c>
      <c r="R53" s="117">
        <v>11</v>
      </c>
    </row>
    <row r="54" spans="1:18" x14ac:dyDescent="0.3">
      <c r="A54" s="118" t="str">
        <f>'FASE OFENSIVA'!A20</f>
        <v>BAISCH</v>
      </c>
      <c r="B54" s="96">
        <f t="shared" si="9"/>
        <v>8</v>
      </c>
      <c r="C54" s="96">
        <f t="shared" si="10"/>
        <v>95</v>
      </c>
      <c r="L54" s="70">
        <v>1</v>
      </c>
      <c r="M54" s="85" t="s">
        <v>33</v>
      </c>
      <c r="N54" s="117">
        <v>11</v>
      </c>
      <c r="P54" s="70">
        <v>1</v>
      </c>
      <c r="Q54" s="85" t="s">
        <v>33</v>
      </c>
      <c r="R54" s="117">
        <v>11</v>
      </c>
    </row>
    <row r="55" spans="1:18" x14ac:dyDescent="0.3">
      <c r="L55" s="70">
        <v>1</v>
      </c>
      <c r="M55" s="85" t="s">
        <v>162</v>
      </c>
      <c r="N55" s="117">
        <v>11</v>
      </c>
      <c r="P55" s="70">
        <v>1</v>
      </c>
      <c r="Q55" s="85" t="s">
        <v>162</v>
      </c>
      <c r="R55" s="117">
        <v>11</v>
      </c>
    </row>
    <row r="56" spans="1:18" x14ac:dyDescent="0.3">
      <c r="L56" s="70">
        <v>1</v>
      </c>
      <c r="M56" s="125" t="s">
        <v>32</v>
      </c>
      <c r="N56" s="117">
        <v>11</v>
      </c>
      <c r="P56" s="70">
        <v>1</v>
      </c>
      <c r="Q56" s="125" t="s">
        <v>32</v>
      </c>
      <c r="R56" s="117">
        <v>11</v>
      </c>
    </row>
    <row r="57" spans="1:18" x14ac:dyDescent="0.3">
      <c r="L57" s="70">
        <v>1</v>
      </c>
      <c r="M57" s="125" t="s">
        <v>34</v>
      </c>
      <c r="N57" s="117">
        <v>11</v>
      </c>
      <c r="P57" s="70">
        <v>1</v>
      </c>
      <c r="Q57" s="125" t="s">
        <v>34</v>
      </c>
      <c r="R57" s="117">
        <v>11</v>
      </c>
    </row>
    <row r="58" spans="1:18" x14ac:dyDescent="0.3">
      <c r="L58" s="70">
        <v>1</v>
      </c>
      <c r="M58" s="125" t="s">
        <v>36</v>
      </c>
      <c r="N58" s="117">
        <v>11</v>
      </c>
      <c r="P58" s="70">
        <v>1</v>
      </c>
      <c r="Q58" s="125" t="s">
        <v>36</v>
      </c>
      <c r="R58" s="117">
        <v>11</v>
      </c>
    </row>
    <row r="59" spans="1:18" x14ac:dyDescent="0.3">
      <c r="L59" s="70">
        <v>1</v>
      </c>
      <c r="M59" s="125" t="s">
        <v>37</v>
      </c>
      <c r="N59" s="117">
        <v>11</v>
      </c>
      <c r="P59" s="70">
        <v>1</v>
      </c>
      <c r="Q59" s="125" t="s">
        <v>37</v>
      </c>
      <c r="R59" s="117">
        <v>11</v>
      </c>
    </row>
    <row r="60" spans="1:18" x14ac:dyDescent="0.3">
      <c r="L60" s="70">
        <v>1</v>
      </c>
      <c r="M60" s="125" t="s">
        <v>163</v>
      </c>
      <c r="N60" s="117">
        <v>11</v>
      </c>
      <c r="P60" s="70">
        <v>1</v>
      </c>
      <c r="Q60" s="125" t="s">
        <v>163</v>
      </c>
      <c r="R60" s="117">
        <v>11</v>
      </c>
    </row>
    <row r="61" spans="1:18" x14ac:dyDescent="0.3">
      <c r="L61" s="70">
        <v>1</v>
      </c>
      <c r="M61" s="125" t="s">
        <v>161</v>
      </c>
      <c r="N61" s="117">
        <v>11</v>
      </c>
      <c r="P61" s="70">
        <v>1</v>
      </c>
      <c r="Q61" s="125" t="s">
        <v>161</v>
      </c>
      <c r="R61" s="117">
        <v>11</v>
      </c>
    </row>
  </sheetData>
  <sortState xmlns:xlrd2="http://schemas.microsoft.com/office/spreadsheetml/2017/richdata2" ref="Q46:R61">
    <sortCondition descending="1" ref="R46:R61"/>
  </sortState>
  <mergeCells count="17">
    <mergeCell ref="L43:N43"/>
    <mergeCell ref="P43:R43"/>
    <mergeCell ref="L44:N44"/>
    <mergeCell ref="P44:R44"/>
    <mergeCell ref="B1:H1"/>
    <mergeCell ref="B2:D2"/>
    <mergeCell ref="E2:F2"/>
    <mergeCell ref="T1:V1"/>
    <mergeCell ref="T2:V2"/>
    <mergeCell ref="L22:N22"/>
    <mergeCell ref="P22:R22"/>
    <mergeCell ref="L23:N23"/>
    <mergeCell ref="P23:R23"/>
    <mergeCell ref="L1:N1"/>
    <mergeCell ref="L2:N2"/>
    <mergeCell ref="P1:R1"/>
    <mergeCell ref="P2:R2"/>
  </mergeCells>
  <conditionalFormatting sqref="B4:H19">
    <cfRule type="dataBar" priority="20">
      <dataBar>
        <cfvo type="min"/>
        <cfvo type="num" val="100"/>
        <color rgb="FF638EC6"/>
      </dataBar>
      <extLst>
        <ext xmlns:x14="http://schemas.microsoft.com/office/spreadsheetml/2009/9/main" uri="{B025F937-C7B1-47D3-B67F-A62EFF666E3E}">
          <x14:id>{26DB59F9-0F99-403E-9D28-1F4792EAAA5E}</x14:id>
        </ext>
      </extLst>
    </cfRule>
    <cfRule type="dataBar" priority="21">
      <dataBar>
        <cfvo type="min"/>
        <cfvo type="num" val="100"/>
        <color rgb="FF638EC6"/>
      </dataBar>
      <extLst>
        <ext xmlns:x14="http://schemas.microsoft.com/office/spreadsheetml/2009/9/main" uri="{B025F937-C7B1-47D3-B67F-A62EFF666E3E}">
          <x14:id>{819E1C3B-4ECD-400A-AEB7-3CE14E644C0C}</x14:id>
        </ext>
      </extLst>
    </cfRule>
    <cfRule type="colorScale" priority="22">
      <colorScale>
        <cfvo type="min"/>
        <cfvo type="num" val="100"/>
        <color theme="8" tint="0.39997558519241921"/>
        <color rgb="FF002060"/>
      </colorScale>
    </cfRule>
  </conditionalFormatting>
  <conditionalFormatting sqref="B22:H3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">
      <colorScale>
        <cfvo type="percentile" val="10"/>
        <cfvo type="num" val="0"/>
        <color rgb="FFFF7128"/>
        <color rgb="FFFFEF9C"/>
      </colorScale>
    </cfRule>
  </conditionalFormatting>
  <conditionalFormatting sqref="C39:C5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:B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DB59F9-0F99-403E-9D28-1F4792EAAA5E}">
            <x14:dataBar minLength="0" maxLength="100" border="1" gradient="0" axisPosition="middle">
              <x14:cfvo type="min"/>
              <x14:cfvo type="num">
                <xm:f>100</xm:f>
              </x14:cfvo>
              <x14:borderColor theme="0"/>
              <x14:negativeFillColor rgb="FFFF0000"/>
              <x14:axisColor rgb="FF000000"/>
            </x14:dataBar>
          </x14:cfRule>
          <x14:cfRule type="dataBar" id="{819E1C3B-4ECD-400A-AEB7-3CE14E644C0C}">
            <x14:dataBar minLength="0" maxLength="100" border="1" gradient="0">
              <x14:cfvo type="min"/>
              <x14:cfvo type="num">
                <xm:f>100</xm:f>
              </x14:cfvo>
              <x14:borderColor theme="0"/>
              <x14:negativeFillColor rgb="FFFF0000"/>
              <x14:axisColor rgb="FF000000"/>
            </x14:dataBar>
          </x14:cfRule>
          <xm:sqref>B4:H19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6798-A086-496A-980C-B69243D6E191}">
  <sheetPr codeName="Planilha8"/>
  <dimension ref="A1:R61"/>
  <sheetViews>
    <sheetView workbookViewId="0">
      <selection activeCell="C39" sqref="C39"/>
    </sheetView>
  </sheetViews>
  <sheetFormatPr defaultRowHeight="14.4" x14ac:dyDescent="0.3"/>
  <cols>
    <col min="1" max="1" width="20.44140625" style="100" customWidth="1"/>
    <col min="2" max="7" width="9.6640625" style="52" customWidth="1"/>
    <col min="8" max="8" width="2.44140625" style="52" customWidth="1"/>
    <col min="9" max="10" width="8.88671875" style="52"/>
    <col min="11" max="11" width="5.109375" style="52" customWidth="1"/>
    <col min="12" max="12" width="21.88671875" style="52" customWidth="1"/>
    <col min="13" max="13" width="8.88671875" style="52"/>
    <col min="14" max="14" width="3.44140625" style="52" customWidth="1"/>
    <col min="15" max="15" width="5.109375" style="52" customWidth="1"/>
    <col min="16" max="16" width="21.88671875" style="52" customWidth="1"/>
    <col min="17" max="16384" width="8.88671875" style="52"/>
  </cols>
  <sheetData>
    <row r="1" spans="1:18" ht="15.6" x14ac:dyDescent="0.3">
      <c r="A1" s="97"/>
      <c r="B1" s="203" t="s">
        <v>135</v>
      </c>
      <c r="C1" s="204"/>
      <c r="D1" s="204"/>
      <c r="E1" s="204"/>
      <c r="F1" s="204"/>
      <c r="G1" s="205"/>
      <c r="K1" s="186" t="s">
        <v>103</v>
      </c>
      <c r="L1" s="186"/>
      <c r="M1" s="186" t="s">
        <v>15</v>
      </c>
      <c r="O1" s="186" t="s">
        <v>103</v>
      </c>
      <c r="P1" s="186"/>
      <c r="Q1" s="186" t="s">
        <v>15</v>
      </c>
    </row>
    <row r="2" spans="1:18" x14ac:dyDescent="0.3">
      <c r="A2" s="98"/>
      <c r="B2" s="197" t="s">
        <v>139</v>
      </c>
      <c r="C2" s="198"/>
      <c r="D2" s="197" t="s">
        <v>140</v>
      </c>
      <c r="E2" s="198"/>
      <c r="F2" s="83" t="s">
        <v>133</v>
      </c>
      <c r="G2" s="83" t="s">
        <v>133</v>
      </c>
      <c r="K2" s="208" t="s">
        <v>145</v>
      </c>
      <c r="L2" s="208"/>
      <c r="M2" s="208"/>
      <c r="O2" s="208" t="s">
        <v>124</v>
      </c>
      <c r="P2" s="208"/>
      <c r="Q2" s="208"/>
    </row>
    <row r="3" spans="1:18" x14ac:dyDescent="0.3">
      <c r="A3" s="64" t="s">
        <v>2</v>
      </c>
      <c r="B3" s="84" t="s">
        <v>18</v>
      </c>
      <c r="C3" s="84" t="s">
        <v>136</v>
      </c>
      <c r="D3" s="84" t="s">
        <v>137</v>
      </c>
      <c r="E3" s="84" t="s">
        <v>138</v>
      </c>
      <c r="F3" s="84" t="s">
        <v>134</v>
      </c>
      <c r="G3" s="84" t="s">
        <v>123</v>
      </c>
      <c r="K3" s="68" t="s">
        <v>110</v>
      </c>
      <c r="L3" s="69" t="s">
        <v>112</v>
      </c>
      <c r="M3" s="68" t="s">
        <v>111</v>
      </c>
      <c r="O3" s="68" t="s">
        <v>110</v>
      </c>
      <c r="P3" s="69" t="s">
        <v>112</v>
      </c>
      <c r="Q3" s="68" t="s">
        <v>111</v>
      </c>
    </row>
    <row r="4" spans="1:18" x14ac:dyDescent="0.3">
      <c r="A4" s="85" t="str">
        <f>'FASE OFENSIVA'!A5</f>
        <v>MATEUS</v>
      </c>
      <c r="B4" s="95">
        <f>Índices!K4</f>
        <v>60</v>
      </c>
      <c r="C4" s="95">
        <f>Índices!L4</f>
        <v>41</v>
      </c>
      <c r="D4" s="95">
        <f>Índices!M4</f>
        <v>37.166666666666671</v>
      </c>
      <c r="E4" s="95">
        <f>Índices!N4</f>
        <v>68</v>
      </c>
      <c r="F4" s="95">
        <f>Índices!O4</f>
        <v>26.666666666666664</v>
      </c>
      <c r="G4" s="95">
        <f>Índices!P4</f>
        <v>57.142857142857146</v>
      </c>
      <c r="H4" s="99"/>
      <c r="K4" s="102">
        <v>1</v>
      </c>
      <c r="L4" s="104" t="s">
        <v>25</v>
      </c>
      <c r="M4" s="103">
        <v>60</v>
      </c>
      <c r="N4" s="96"/>
      <c r="O4" s="102">
        <v>1</v>
      </c>
      <c r="P4" s="104" t="s">
        <v>25</v>
      </c>
      <c r="Q4" s="103">
        <v>41</v>
      </c>
      <c r="R4" s="96"/>
    </row>
    <row r="5" spans="1:18" x14ac:dyDescent="0.3">
      <c r="A5" s="85" t="str">
        <f>'FASE OFENSIVA'!A6</f>
        <v>RAFINHA</v>
      </c>
      <c r="B5" s="95">
        <f>Índices!K5</f>
        <v>11</v>
      </c>
      <c r="C5" s="95">
        <f>Índices!L5</f>
        <v>11</v>
      </c>
      <c r="D5" s="95">
        <f>Índices!M5</f>
        <v>11</v>
      </c>
      <c r="E5" s="95">
        <f>Índices!N5</f>
        <v>11</v>
      </c>
      <c r="F5" s="95">
        <f>Índices!O5</f>
        <v>11</v>
      </c>
      <c r="G5" s="95">
        <f>Índices!P5</f>
        <v>11</v>
      </c>
      <c r="H5" s="99"/>
      <c r="K5" s="102">
        <v>2</v>
      </c>
      <c r="L5" s="104" t="s">
        <v>26</v>
      </c>
      <c r="M5" s="103">
        <v>11</v>
      </c>
      <c r="N5" s="96"/>
      <c r="O5" s="102">
        <v>2</v>
      </c>
      <c r="P5" s="104" t="s">
        <v>26</v>
      </c>
      <c r="Q5" s="103">
        <v>11</v>
      </c>
      <c r="R5" s="96"/>
    </row>
    <row r="6" spans="1:18" x14ac:dyDescent="0.3">
      <c r="A6" s="85" t="str">
        <f>'FASE OFENSIVA'!A7</f>
        <v>TARIQ</v>
      </c>
      <c r="B6" s="95">
        <f>Índices!K6</f>
        <v>11</v>
      </c>
      <c r="C6" s="95">
        <f>Índices!L6</f>
        <v>11</v>
      </c>
      <c r="D6" s="95">
        <f>Índices!M6</f>
        <v>11</v>
      </c>
      <c r="E6" s="95">
        <f>Índices!N6</f>
        <v>11</v>
      </c>
      <c r="F6" s="95">
        <f>Índices!O6</f>
        <v>11</v>
      </c>
      <c r="G6" s="95">
        <f>Índices!P6</f>
        <v>11</v>
      </c>
      <c r="H6" s="99"/>
      <c r="K6" s="102">
        <v>2</v>
      </c>
      <c r="L6" s="104" t="s">
        <v>24</v>
      </c>
      <c r="M6" s="103">
        <v>11</v>
      </c>
      <c r="N6" s="96"/>
      <c r="O6" s="102">
        <v>2</v>
      </c>
      <c r="P6" s="104" t="s">
        <v>24</v>
      </c>
      <c r="Q6" s="103">
        <v>11</v>
      </c>
      <c r="R6" s="96"/>
    </row>
    <row r="7" spans="1:18" x14ac:dyDescent="0.3">
      <c r="A7" s="85" t="str">
        <f>'FASE OFENSIVA'!A8</f>
        <v>TETEU</v>
      </c>
      <c r="B7" s="95">
        <f>Índices!K7</f>
        <v>11</v>
      </c>
      <c r="C7" s="95">
        <f>Índices!L7</f>
        <v>11</v>
      </c>
      <c r="D7" s="95">
        <f>Índices!M7</f>
        <v>11</v>
      </c>
      <c r="E7" s="95">
        <f>Índices!N7</f>
        <v>11</v>
      </c>
      <c r="F7" s="95">
        <f>Índices!O7</f>
        <v>11</v>
      </c>
      <c r="G7" s="95">
        <f>Índices!P7</f>
        <v>11</v>
      </c>
      <c r="H7" s="99"/>
      <c r="K7" s="102">
        <v>2</v>
      </c>
      <c r="L7" s="104" t="s">
        <v>27</v>
      </c>
      <c r="M7" s="103">
        <v>11</v>
      </c>
      <c r="N7" s="96"/>
      <c r="O7" s="102">
        <v>2</v>
      </c>
      <c r="P7" s="104" t="s">
        <v>27</v>
      </c>
      <c r="Q7" s="103">
        <v>11</v>
      </c>
      <c r="R7" s="96"/>
    </row>
    <row r="8" spans="1:18" x14ac:dyDescent="0.3">
      <c r="A8" s="85" t="str">
        <f>'FASE OFENSIVA'!A9</f>
        <v>LORENZO</v>
      </c>
      <c r="B8" s="95">
        <f>Índices!K8</f>
        <v>11</v>
      </c>
      <c r="C8" s="95">
        <f>Índices!L8</f>
        <v>11</v>
      </c>
      <c r="D8" s="95">
        <f>Índices!M8</f>
        <v>11</v>
      </c>
      <c r="E8" s="95">
        <f>Índices!N8</f>
        <v>11</v>
      </c>
      <c r="F8" s="95">
        <f>Índices!O8</f>
        <v>11</v>
      </c>
      <c r="G8" s="95">
        <f>Índices!P8</f>
        <v>11</v>
      </c>
      <c r="H8" s="99"/>
      <c r="K8" s="102">
        <v>2</v>
      </c>
      <c r="L8" s="105" t="s">
        <v>31</v>
      </c>
      <c r="M8" s="103">
        <v>11</v>
      </c>
      <c r="N8" s="96"/>
      <c r="O8" s="102">
        <v>2</v>
      </c>
      <c r="P8" s="105" t="s">
        <v>31</v>
      </c>
      <c r="Q8" s="103">
        <v>11</v>
      </c>
      <c r="R8" s="96"/>
    </row>
    <row r="9" spans="1:18" x14ac:dyDescent="0.3">
      <c r="A9" s="85" t="str">
        <f>'FASE OFENSIVA'!A10</f>
        <v>PEPO</v>
      </c>
      <c r="B9" s="95">
        <f>Índices!K9</f>
        <v>11</v>
      </c>
      <c r="C9" s="95">
        <f>Índices!L9</f>
        <v>11</v>
      </c>
      <c r="D9" s="95">
        <f>Índices!M9</f>
        <v>11</v>
      </c>
      <c r="E9" s="95">
        <f>Índices!N9</f>
        <v>11</v>
      </c>
      <c r="F9" s="95">
        <f>Índices!O9</f>
        <v>11</v>
      </c>
      <c r="G9" s="95">
        <f>Índices!P9</f>
        <v>11</v>
      </c>
      <c r="H9" s="99"/>
      <c r="K9" s="102">
        <v>2</v>
      </c>
      <c r="L9" s="105" t="s">
        <v>29</v>
      </c>
      <c r="M9" s="103">
        <v>11</v>
      </c>
      <c r="N9" s="96"/>
      <c r="O9" s="102">
        <v>2</v>
      </c>
      <c r="P9" s="105" t="s">
        <v>29</v>
      </c>
      <c r="Q9" s="103">
        <v>11</v>
      </c>
      <c r="R9" s="96"/>
    </row>
    <row r="10" spans="1:18" x14ac:dyDescent="0.3">
      <c r="A10" s="85" t="str">
        <f>'FASE OFENSIVA'!A11</f>
        <v>ROGÉRIO</v>
      </c>
      <c r="B10" s="95">
        <f>Índices!K10</f>
        <v>11</v>
      </c>
      <c r="C10" s="95">
        <f>Índices!L10</f>
        <v>11</v>
      </c>
      <c r="D10" s="95">
        <f>Índices!M10</f>
        <v>11</v>
      </c>
      <c r="E10" s="95">
        <f>Índices!N10</f>
        <v>11</v>
      </c>
      <c r="F10" s="95">
        <f>Índices!O10</f>
        <v>11</v>
      </c>
      <c r="G10" s="95">
        <f>Índices!P10</f>
        <v>11</v>
      </c>
      <c r="H10" s="99"/>
      <c r="K10" s="102">
        <v>2</v>
      </c>
      <c r="L10" s="105" t="s">
        <v>28</v>
      </c>
      <c r="M10" s="103">
        <v>11</v>
      </c>
      <c r="N10" s="96"/>
      <c r="O10" s="102">
        <v>2</v>
      </c>
      <c r="P10" s="105" t="s">
        <v>28</v>
      </c>
      <c r="Q10" s="103">
        <v>11</v>
      </c>
      <c r="R10" s="96"/>
    </row>
    <row r="11" spans="1:18" x14ac:dyDescent="0.3">
      <c r="A11" s="85" t="str">
        <f>'FASE OFENSIVA'!A12</f>
        <v>LUCAS SENNA</v>
      </c>
      <c r="B11" s="95">
        <f>Índices!K11</f>
        <v>11</v>
      </c>
      <c r="C11" s="95">
        <f>Índices!L11</f>
        <v>11</v>
      </c>
      <c r="D11" s="95">
        <f>Índices!M11</f>
        <v>11</v>
      </c>
      <c r="E11" s="95">
        <f>Índices!N11</f>
        <v>11</v>
      </c>
      <c r="F11" s="95">
        <f>Índices!O11</f>
        <v>11</v>
      </c>
      <c r="G11" s="95">
        <f>Índices!P11</f>
        <v>11</v>
      </c>
      <c r="H11" s="99"/>
      <c r="K11" s="102">
        <v>2</v>
      </c>
      <c r="L11" s="105" t="s">
        <v>164</v>
      </c>
      <c r="M11" s="103">
        <v>11</v>
      </c>
      <c r="N11" s="96"/>
      <c r="O11" s="102">
        <v>2</v>
      </c>
      <c r="P11" s="105" t="s">
        <v>164</v>
      </c>
      <c r="Q11" s="103">
        <v>11</v>
      </c>
      <c r="R11" s="96"/>
    </row>
    <row r="12" spans="1:18" x14ac:dyDescent="0.3">
      <c r="A12" s="85" t="str">
        <f>'FASE OFENSIVA'!A13</f>
        <v>GARCIA</v>
      </c>
      <c r="B12" s="95">
        <f>Índices!K12</f>
        <v>11</v>
      </c>
      <c r="C12" s="95">
        <f>Índices!L12</f>
        <v>11</v>
      </c>
      <c r="D12" s="95">
        <f>Índices!M12</f>
        <v>11</v>
      </c>
      <c r="E12" s="95">
        <f>Índices!N12</f>
        <v>11</v>
      </c>
      <c r="F12" s="95">
        <f>Índices!O12</f>
        <v>11</v>
      </c>
      <c r="G12" s="95">
        <f>Índices!P12</f>
        <v>11</v>
      </c>
      <c r="H12" s="99"/>
      <c r="K12" s="102">
        <v>2</v>
      </c>
      <c r="L12" s="105" t="s">
        <v>33</v>
      </c>
      <c r="M12" s="103">
        <v>11</v>
      </c>
      <c r="N12" s="96"/>
      <c r="O12" s="102">
        <v>2</v>
      </c>
      <c r="P12" s="105" t="s">
        <v>33</v>
      </c>
      <c r="Q12" s="103">
        <v>11</v>
      </c>
      <c r="R12" s="96"/>
    </row>
    <row r="13" spans="1:18" x14ac:dyDescent="0.3">
      <c r="A13" s="85" t="str">
        <f>'FASE OFENSIVA'!A14</f>
        <v>FOGO</v>
      </c>
      <c r="B13" s="95">
        <f>Índices!K13</f>
        <v>11</v>
      </c>
      <c r="C13" s="95">
        <f>Índices!L13</f>
        <v>11</v>
      </c>
      <c r="D13" s="95">
        <f>Índices!M13</f>
        <v>11</v>
      </c>
      <c r="E13" s="95">
        <f>Índices!N13</f>
        <v>11</v>
      </c>
      <c r="F13" s="95">
        <f>Índices!O13</f>
        <v>11</v>
      </c>
      <c r="G13" s="95">
        <f>Índices!P13</f>
        <v>11</v>
      </c>
      <c r="H13" s="99"/>
      <c r="K13" s="102">
        <v>2</v>
      </c>
      <c r="L13" s="105" t="s">
        <v>162</v>
      </c>
      <c r="M13" s="103">
        <v>11</v>
      </c>
      <c r="N13" s="96"/>
      <c r="O13" s="102">
        <v>2</v>
      </c>
      <c r="P13" s="105" t="s">
        <v>162</v>
      </c>
      <c r="Q13" s="103">
        <v>11</v>
      </c>
      <c r="R13" s="96"/>
    </row>
    <row r="14" spans="1:18" x14ac:dyDescent="0.3">
      <c r="A14" s="85" t="str">
        <f>'FASE OFENSIVA'!A15</f>
        <v>TITO</v>
      </c>
      <c r="B14" s="95">
        <f>Índices!K14</f>
        <v>11</v>
      </c>
      <c r="C14" s="95">
        <f>Índices!L14</f>
        <v>11</v>
      </c>
      <c r="D14" s="95">
        <f>Índices!M14</f>
        <v>11</v>
      </c>
      <c r="E14" s="95">
        <f>Índices!N14</f>
        <v>11</v>
      </c>
      <c r="F14" s="95">
        <f>Índices!O14</f>
        <v>11</v>
      </c>
      <c r="G14" s="95">
        <f>Índices!P14</f>
        <v>11</v>
      </c>
      <c r="H14" s="99"/>
      <c r="K14" s="102">
        <v>2</v>
      </c>
      <c r="L14" s="124" t="s">
        <v>32</v>
      </c>
      <c r="M14" s="103">
        <v>11</v>
      </c>
      <c r="N14" s="96"/>
      <c r="O14" s="102">
        <v>2</v>
      </c>
      <c r="P14" s="124" t="s">
        <v>32</v>
      </c>
      <c r="Q14" s="103">
        <v>11</v>
      </c>
      <c r="R14" s="96"/>
    </row>
    <row r="15" spans="1:18" x14ac:dyDescent="0.3">
      <c r="A15" s="85" t="str">
        <f>'FASE OFENSIVA'!A16</f>
        <v>PIETRO</v>
      </c>
      <c r="B15" s="95">
        <f>Índices!K15</f>
        <v>11</v>
      </c>
      <c r="C15" s="95">
        <f>Índices!L15</f>
        <v>11</v>
      </c>
      <c r="D15" s="95">
        <f>Índices!M15</f>
        <v>11</v>
      </c>
      <c r="E15" s="95">
        <f>Índices!N15</f>
        <v>11</v>
      </c>
      <c r="F15" s="95">
        <f>Índices!O15</f>
        <v>11</v>
      </c>
      <c r="G15" s="95">
        <f>Índices!P15</f>
        <v>11</v>
      </c>
      <c r="H15" s="99"/>
      <c r="K15" s="102">
        <v>2</v>
      </c>
      <c r="L15" s="124" t="s">
        <v>34</v>
      </c>
      <c r="M15" s="103">
        <v>11</v>
      </c>
      <c r="N15" s="96"/>
      <c r="O15" s="102">
        <v>2</v>
      </c>
      <c r="P15" s="124" t="s">
        <v>34</v>
      </c>
      <c r="Q15" s="103">
        <v>11</v>
      </c>
      <c r="R15" s="96"/>
    </row>
    <row r="16" spans="1:18" x14ac:dyDescent="0.3">
      <c r="A16" s="85" t="str">
        <f>'FASE OFENSIVA'!A17</f>
        <v>ALYSSON</v>
      </c>
      <c r="B16" s="95">
        <f>Índices!K16</f>
        <v>11</v>
      </c>
      <c r="C16" s="95">
        <f>Índices!L16</f>
        <v>11</v>
      </c>
      <c r="D16" s="95">
        <f>Índices!M16</f>
        <v>11</v>
      </c>
      <c r="E16" s="95">
        <f>Índices!N16</f>
        <v>11</v>
      </c>
      <c r="F16" s="95">
        <f>Índices!O16</f>
        <v>11</v>
      </c>
      <c r="G16" s="95">
        <f>Índices!P16</f>
        <v>11</v>
      </c>
      <c r="H16" s="99"/>
      <c r="K16" s="102">
        <v>2</v>
      </c>
      <c r="L16" s="124" t="s">
        <v>36</v>
      </c>
      <c r="M16" s="103">
        <v>11</v>
      </c>
      <c r="N16" s="96"/>
      <c r="O16" s="102">
        <v>2</v>
      </c>
      <c r="P16" s="124" t="s">
        <v>36</v>
      </c>
      <c r="Q16" s="103">
        <v>11</v>
      </c>
      <c r="R16" s="96"/>
    </row>
    <row r="17" spans="1:18" x14ac:dyDescent="0.3">
      <c r="A17" s="85" t="str">
        <f>'FASE OFENSIVA'!A18</f>
        <v>LÉO ELIAS</v>
      </c>
      <c r="B17" s="95">
        <f>Índices!K17</f>
        <v>11</v>
      </c>
      <c r="C17" s="95">
        <f>Índices!L17</f>
        <v>11</v>
      </c>
      <c r="D17" s="95">
        <f>Índices!M17</f>
        <v>11</v>
      </c>
      <c r="E17" s="95">
        <f>Índices!N17</f>
        <v>11</v>
      </c>
      <c r="F17" s="95">
        <f>Índices!O17</f>
        <v>11</v>
      </c>
      <c r="G17" s="95">
        <f>Índices!P17</f>
        <v>11</v>
      </c>
      <c r="H17" s="99"/>
      <c r="K17" s="102">
        <v>2</v>
      </c>
      <c r="L17" s="124" t="s">
        <v>37</v>
      </c>
      <c r="M17" s="103">
        <v>11</v>
      </c>
      <c r="N17" s="96"/>
      <c r="O17" s="102">
        <v>2</v>
      </c>
      <c r="P17" s="124" t="s">
        <v>37</v>
      </c>
      <c r="Q17" s="103">
        <v>11</v>
      </c>
      <c r="R17" s="96"/>
    </row>
    <row r="18" spans="1:18" x14ac:dyDescent="0.3">
      <c r="A18" s="85" t="str">
        <f>'FASE OFENSIVA'!A19</f>
        <v>LÉO RUDEK</v>
      </c>
      <c r="B18" s="95">
        <f>Índices!K18</f>
        <v>11</v>
      </c>
      <c r="C18" s="95">
        <f>Índices!L18</f>
        <v>11</v>
      </c>
      <c r="D18" s="95">
        <f>Índices!M18</f>
        <v>11</v>
      </c>
      <c r="E18" s="95">
        <f>Índices!N18</f>
        <v>11</v>
      </c>
      <c r="F18" s="95">
        <f>Índices!O18</f>
        <v>11</v>
      </c>
      <c r="G18" s="95">
        <f>Índices!P18</f>
        <v>11</v>
      </c>
      <c r="H18" s="99"/>
      <c r="K18" s="102">
        <v>2</v>
      </c>
      <c r="L18" s="124" t="s">
        <v>163</v>
      </c>
      <c r="M18" s="103">
        <v>11</v>
      </c>
      <c r="N18" s="96"/>
      <c r="O18" s="102">
        <v>2</v>
      </c>
      <c r="P18" s="124" t="s">
        <v>163</v>
      </c>
      <c r="Q18" s="103">
        <v>11</v>
      </c>
      <c r="R18" s="96"/>
    </row>
    <row r="19" spans="1:18" x14ac:dyDescent="0.3">
      <c r="A19" s="85" t="str">
        <f>'FASE OFENSIVA'!A20</f>
        <v>BAISCH</v>
      </c>
      <c r="B19" s="95">
        <f>Índices!K19</f>
        <v>11</v>
      </c>
      <c r="C19" s="95">
        <f>Índices!L19</f>
        <v>11</v>
      </c>
      <c r="D19" s="95">
        <f>Índices!M19</f>
        <v>11</v>
      </c>
      <c r="E19" s="95">
        <f>Índices!N19</f>
        <v>11</v>
      </c>
      <c r="F19" s="95">
        <f>Índices!O19</f>
        <v>11</v>
      </c>
      <c r="G19" s="95">
        <f>Índices!P19</f>
        <v>11</v>
      </c>
      <c r="H19" s="99"/>
      <c r="K19" s="102">
        <v>2</v>
      </c>
      <c r="L19" s="124" t="s">
        <v>161</v>
      </c>
      <c r="M19" s="103">
        <v>11</v>
      </c>
      <c r="N19" s="96"/>
      <c r="O19" s="102">
        <v>2</v>
      </c>
      <c r="P19" s="124" t="s">
        <v>161</v>
      </c>
      <c r="Q19" s="103">
        <v>11</v>
      </c>
      <c r="R19" s="96"/>
    </row>
    <row r="20" spans="1:18" x14ac:dyDescent="0.3">
      <c r="B20" s="96">
        <f t="shared" ref="B20:C20" si="0">AVERAGEIF(B4:B19,"&lt;&gt;"&amp;"#DIV/0!",B4:B19)</f>
        <v>14.0625</v>
      </c>
      <c r="C20" s="96">
        <f t="shared" si="0"/>
        <v>12.875</v>
      </c>
      <c r="D20" s="96">
        <f t="shared" ref="D20:G20" si="1">AVERAGEIF(D4:D19,"&lt;&gt;"&amp;"#DIV/0!",D4:D19)</f>
        <v>12.635416666666668</v>
      </c>
      <c r="E20" s="96">
        <f t="shared" si="1"/>
        <v>14.5625</v>
      </c>
      <c r="F20" s="96">
        <f t="shared" si="1"/>
        <v>11.979166666666666</v>
      </c>
      <c r="G20" s="96">
        <f t="shared" si="1"/>
        <v>13.883928571428571</v>
      </c>
      <c r="H20" s="96"/>
    </row>
    <row r="21" spans="1:18" x14ac:dyDescent="0.3">
      <c r="B21" s="84" t="s">
        <v>18</v>
      </c>
      <c r="C21" s="84" t="s">
        <v>136</v>
      </c>
      <c r="D21" s="84" t="s">
        <v>137</v>
      </c>
      <c r="E21" s="84" t="s">
        <v>138</v>
      </c>
      <c r="F21" s="84" t="s">
        <v>134</v>
      </c>
      <c r="G21" s="84" t="s">
        <v>123</v>
      </c>
      <c r="H21" s="96"/>
    </row>
    <row r="22" spans="1:18" x14ac:dyDescent="0.3">
      <c r="A22" s="118" t="str">
        <f>'FASE OFENSIVA'!A5</f>
        <v>MATEUS</v>
      </c>
      <c r="B22" s="119">
        <f>INDEX($K$4:$L$19,MATCH(A4,$L$4:$L$19,0),1)</f>
        <v>1</v>
      </c>
      <c r="C22" s="119">
        <f>INDEX($O$4:$P$19,MATCH(A4,$P$4:$P$19,0),1)</f>
        <v>1</v>
      </c>
      <c r="D22" s="119">
        <f>INDEX($K$25:$L$40,MATCH(A4,$L$25:$L$40,0),1)</f>
        <v>1</v>
      </c>
      <c r="E22" s="119">
        <f>INDEX($O$25:$P$40,MATCH(A4,$P$25:$P$40,0),1)</f>
        <v>1</v>
      </c>
      <c r="F22" s="119">
        <f>INDEX($K$46:$L$61,MATCH(A4,$L$46:$L$61,0),1)</f>
        <v>1</v>
      </c>
      <c r="G22" s="119">
        <f>INDEX($O$46:$P$61,MATCH(A4,$P$46:$P$61,0),1)</f>
        <v>1</v>
      </c>
      <c r="H22" s="96"/>
      <c r="K22" s="186" t="s">
        <v>103</v>
      </c>
      <c r="L22" s="186"/>
      <c r="M22" s="186" t="s">
        <v>15</v>
      </c>
      <c r="O22" s="186" t="s">
        <v>103</v>
      </c>
      <c r="P22" s="186"/>
      <c r="Q22" s="186" t="s">
        <v>15</v>
      </c>
    </row>
    <row r="23" spans="1:18" x14ac:dyDescent="0.3">
      <c r="A23" s="118" t="str">
        <f>'FASE OFENSIVA'!A6</f>
        <v>RAFINHA</v>
      </c>
      <c r="B23" s="119">
        <f t="shared" ref="B23:B37" si="2">INDEX($K$4:$L$19,MATCH(A5,$L$4:$L$19,0),1)</f>
        <v>2</v>
      </c>
      <c r="C23" s="119">
        <f t="shared" ref="C23:C37" si="3">INDEX($O$4:$P$19,MATCH(A5,$P$4:$P$19,0),1)</f>
        <v>2</v>
      </c>
      <c r="D23" s="119">
        <f t="shared" ref="D23:D37" si="4">INDEX($K$25:$L$40,MATCH(A5,$L$25:$L$40,0),1)</f>
        <v>2</v>
      </c>
      <c r="E23" s="119">
        <f t="shared" ref="E23:E37" si="5">INDEX($O$25:$P$40,MATCH(A5,$P$25:$P$40,0),1)</f>
        <v>2</v>
      </c>
      <c r="F23" s="119">
        <f t="shared" ref="F23:F37" si="6">INDEX($K$46:$L$61,MATCH(A5,$L$46:$L$61,0),1)</f>
        <v>2</v>
      </c>
      <c r="G23" s="119">
        <f t="shared" ref="G23:G36" si="7">INDEX($O$46:$P$61,MATCH(A5,$P$46:$P$61,0),1)</f>
        <v>2</v>
      </c>
      <c r="H23" s="96"/>
      <c r="K23" s="208" t="s">
        <v>146</v>
      </c>
      <c r="L23" s="208"/>
      <c r="M23" s="208"/>
      <c r="O23" s="208" t="s">
        <v>138</v>
      </c>
      <c r="P23" s="208"/>
      <c r="Q23" s="208"/>
    </row>
    <row r="24" spans="1:18" x14ac:dyDescent="0.3">
      <c r="A24" s="118" t="str">
        <f>'FASE OFENSIVA'!A7</f>
        <v>TARIQ</v>
      </c>
      <c r="B24" s="119">
        <f t="shared" si="2"/>
        <v>2</v>
      </c>
      <c r="C24" s="119">
        <f t="shared" si="3"/>
        <v>2</v>
      </c>
      <c r="D24" s="119">
        <f t="shared" si="4"/>
        <v>2</v>
      </c>
      <c r="E24" s="119">
        <f t="shared" si="5"/>
        <v>2</v>
      </c>
      <c r="F24" s="119">
        <f t="shared" si="6"/>
        <v>2</v>
      </c>
      <c r="G24" s="119">
        <f t="shared" si="7"/>
        <v>2</v>
      </c>
      <c r="H24" s="96"/>
      <c r="K24" s="68" t="s">
        <v>110</v>
      </c>
      <c r="L24" s="69" t="s">
        <v>112</v>
      </c>
      <c r="M24" s="68" t="s">
        <v>111</v>
      </c>
      <c r="O24" s="68" t="s">
        <v>110</v>
      </c>
      <c r="P24" s="69" t="s">
        <v>112</v>
      </c>
      <c r="Q24" s="68" t="s">
        <v>111</v>
      </c>
    </row>
    <row r="25" spans="1:18" x14ac:dyDescent="0.3">
      <c r="A25" s="118" t="str">
        <f>'FASE OFENSIVA'!A8</f>
        <v>TETEU</v>
      </c>
      <c r="B25" s="119">
        <f t="shared" si="2"/>
        <v>2</v>
      </c>
      <c r="C25" s="119">
        <f t="shared" si="3"/>
        <v>2</v>
      </c>
      <c r="D25" s="119">
        <f t="shared" si="4"/>
        <v>2</v>
      </c>
      <c r="E25" s="119">
        <f t="shared" si="5"/>
        <v>2</v>
      </c>
      <c r="F25" s="119">
        <f t="shared" si="6"/>
        <v>2</v>
      </c>
      <c r="G25" s="119">
        <f t="shared" si="7"/>
        <v>2</v>
      </c>
      <c r="H25" s="96"/>
      <c r="K25" s="102">
        <v>1</v>
      </c>
      <c r="L25" s="104" t="s">
        <v>25</v>
      </c>
      <c r="M25" s="103">
        <v>37.166666666666671</v>
      </c>
      <c r="O25" s="102">
        <v>1</v>
      </c>
      <c r="P25" s="104" t="s">
        <v>25</v>
      </c>
      <c r="Q25" s="103">
        <v>68</v>
      </c>
    </row>
    <row r="26" spans="1:18" x14ac:dyDescent="0.3">
      <c r="A26" s="118" t="str">
        <f>'FASE OFENSIVA'!A9</f>
        <v>LORENZO</v>
      </c>
      <c r="B26" s="119">
        <f t="shared" si="2"/>
        <v>2</v>
      </c>
      <c r="C26" s="119">
        <f t="shared" si="3"/>
        <v>2</v>
      </c>
      <c r="D26" s="119">
        <f t="shared" si="4"/>
        <v>2</v>
      </c>
      <c r="E26" s="119">
        <f t="shared" si="5"/>
        <v>2</v>
      </c>
      <c r="F26" s="119">
        <f t="shared" si="6"/>
        <v>2</v>
      </c>
      <c r="G26" s="119">
        <f t="shared" si="7"/>
        <v>2</v>
      </c>
      <c r="H26" s="96"/>
      <c r="K26" s="102">
        <v>2</v>
      </c>
      <c r="L26" s="104" t="s">
        <v>26</v>
      </c>
      <c r="M26" s="103">
        <v>11</v>
      </c>
      <c r="O26" s="102">
        <v>2</v>
      </c>
      <c r="P26" s="104" t="s">
        <v>26</v>
      </c>
      <c r="Q26" s="103">
        <v>11</v>
      </c>
    </row>
    <row r="27" spans="1:18" x14ac:dyDescent="0.3">
      <c r="A27" s="118" t="str">
        <f>'FASE OFENSIVA'!A10</f>
        <v>PEPO</v>
      </c>
      <c r="B27" s="119">
        <f t="shared" si="2"/>
        <v>2</v>
      </c>
      <c r="C27" s="119">
        <f t="shared" si="3"/>
        <v>2</v>
      </c>
      <c r="D27" s="119">
        <f t="shared" si="4"/>
        <v>2</v>
      </c>
      <c r="E27" s="119">
        <f t="shared" si="5"/>
        <v>2</v>
      </c>
      <c r="F27" s="119">
        <f t="shared" si="6"/>
        <v>2</v>
      </c>
      <c r="G27" s="119">
        <f t="shared" si="7"/>
        <v>2</v>
      </c>
      <c r="H27" s="96"/>
      <c r="K27" s="102">
        <v>2</v>
      </c>
      <c r="L27" s="104" t="s">
        <v>24</v>
      </c>
      <c r="M27" s="103">
        <v>11</v>
      </c>
      <c r="O27" s="102">
        <v>2</v>
      </c>
      <c r="P27" s="104" t="s">
        <v>24</v>
      </c>
      <c r="Q27" s="103">
        <v>11</v>
      </c>
    </row>
    <row r="28" spans="1:18" x14ac:dyDescent="0.3">
      <c r="A28" s="118" t="str">
        <f>'FASE OFENSIVA'!A11</f>
        <v>ROGÉRIO</v>
      </c>
      <c r="B28" s="119">
        <f t="shared" si="2"/>
        <v>2</v>
      </c>
      <c r="C28" s="119">
        <f t="shared" si="3"/>
        <v>2</v>
      </c>
      <c r="D28" s="119">
        <f t="shared" si="4"/>
        <v>2</v>
      </c>
      <c r="E28" s="119">
        <f t="shared" si="5"/>
        <v>2</v>
      </c>
      <c r="F28" s="119">
        <f t="shared" si="6"/>
        <v>2</v>
      </c>
      <c r="G28" s="119">
        <f t="shared" si="7"/>
        <v>2</v>
      </c>
      <c r="H28" s="96"/>
      <c r="K28" s="102">
        <v>2</v>
      </c>
      <c r="L28" s="104" t="s">
        <v>27</v>
      </c>
      <c r="M28" s="103">
        <v>11</v>
      </c>
      <c r="O28" s="102">
        <v>2</v>
      </c>
      <c r="P28" s="104" t="s">
        <v>27</v>
      </c>
      <c r="Q28" s="103">
        <v>11</v>
      </c>
    </row>
    <row r="29" spans="1:18" x14ac:dyDescent="0.3">
      <c r="A29" s="118" t="str">
        <f>'FASE OFENSIVA'!A12</f>
        <v>LUCAS SENNA</v>
      </c>
      <c r="B29" s="119">
        <f t="shared" si="2"/>
        <v>2</v>
      </c>
      <c r="C29" s="119">
        <f t="shared" si="3"/>
        <v>2</v>
      </c>
      <c r="D29" s="119">
        <f t="shared" si="4"/>
        <v>2</v>
      </c>
      <c r="E29" s="119">
        <f t="shared" si="5"/>
        <v>2</v>
      </c>
      <c r="F29" s="119">
        <f t="shared" si="6"/>
        <v>2</v>
      </c>
      <c r="G29" s="119">
        <f t="shared" si="7"/>
        <v>2</v>
      </c>
      <c r="H29" s="96"/>
      <c r="K29" s="102">
        <v>2</v>
      </c>
      <c r="L29" s="105" t="s">
        <v>31</v>
      </c>
      <c r="M29" s="103">
        <v>11</v>
      </c>
      <c r="O29" s="102">
        <v>2</v>
      </c>
      <c r="P29" s="105" t="s">
        <v>31</v>
      </c>
      <c r="Q29" s="103">
        <v>11</v>
      </c>
    </row>
    <row r="30" spans="1:18" x14ac:dyDescent="0.3">
      <c r="A30" s="118" t="str">
        <f>'FASE OFENSIVA'!A13</f>
        <v>GARCIA</v>
      </c>
      <c r="B30" s="119">
        <f t="shared" si="2"/>
        <v>2</v>
      </c>
      <c r="C30" s="119">
        <f t="shared" si="3"/>
        <v>2</v>
      </c>
      <c r="D30" s="119">
        <f t="shared" si="4"/>
        <v>2</v>
      </c>
      <c r="E30" s="119">
        <f t="shared" si="5"/>
        <v>2</v>
      </c>
      <c r="F30" s="119">
        <f t="shared" si="6"/>
        <v>2</v>
      </c>
      <c r="G30" s="119">
        <f t="shared" si="7"/>
        <v>2</v>
      </c>
      <c r="H30" s="96"/>
      <c r="K30" s="102">
        <v>2</v>
      </c>
      <c r="L30" s="105" t="s">
        <v>29</v>
      </c>
      <c r="M30" s="103">
        <v>11</v>
      </c>
      <c r="O30" s="102">
        <v>2</v>
      </c>
      <c r="P30" s="105" t="s">
        <v>29</v>
      </c>
      <c r="Q30" s="103">
        <v>11</v>
      </c>
    </row>
    <row r="31" spans="1:18" x14ac:dyDescent="0.3">
      <c r="A31" s="118" t="str">
        <f>'FASE OFENSIVA'!A14</f>
        <v>FOGO</v>
      </c>
      <c r="B31" s="119">
        <f t="shared" si="2"/>
        <v>2</v>
      </c>
      <c r="C31" s="119">
        <f t="shared" si="3"/>
        <v>2</v>
      </c>
      <c r="D31" s="119">
        <f t="shared" si="4"/>
        <v>2</v>
      </c>
      <c r="E31" s="119">
        <f t="shared" si="5"/>
        <v>2</v>
      </c>
      <c r="F31" s="119">
        <f t="shared" si="6"/>
        <v>2</v>
      </c>
      <c r="G31" s="119">
        <f t="shared" si="7"/>
        <v>2</v>
      </c>
      <c r="H31" s="96"/>
      <c r="K31" s="102">
        <v>2</v>
      </c>
      <c r="L31" s="105" t="s">
        <v>28</v>
      </c>
      <c r="M31" s="103">
        <v>11</v>
      </c>
      <c r="O31" s="102">
        <v>2</v>
      </c>
      <c r="P31" s="105" t="s">
        <v>28</v>
      </c>
      <c r="Q31" s="103">
        <v>11</v>
      </c>
    </row>
    <row r="32" spans="1:18" x14ac:dyDescent="0.3">
      <c r="A32" s="118" t="str">
        <f>'FASE OFENSIVA'!A15</f>
        <v>TITO</v>
      </c>
      <c r="B32" s="119">
        <f t="shared" si="2"/>
        <v>2</v>
      </c>
      <c r="C32" s="119">
        <f t="shared" si="3"/>
        <v>2</v>
      </c>
      <c r="D32" s="119">
        <f t="shared" si="4"/>
        <v>2</v>
      </c>
      <c r="E32" s="119">
        <f t="shared" si="5"/>
        <v>2</v>
      </c>
      <c r="F32" s="119">
        <f t="shared" si="6"/>
        <v>2</v>
      </c>
      <c r="G32" s="119">
        <f t="shared" si="7"/>
        <v>2</v>
      </c>
      <c r="H32" s="96"/>
      <c r="K32" s="102">
        <v>2</v>
      </c>
      <c r="L32" s="105" t="s">
        <v>164</v>
      </c>
      <c r="M32" s="103">
        <v>11</v>
      </c>
      <c r="O32" s="102">
        <v>2</v>
      </c>
      <c r="P32" s="105" t="s">
        <v>164</v>
      </c>
      <c r="Q32" s="103">
        <v>11</v>
      </c>
    </row>
    <row r="33" spans="1:17" x14ac:dyDescent="0.3">
      <c r="A33" s="118" t="str">
        <f>'FASE OFENSIVA'!A16</f>
        <v>PIETRO</v>
      </c>
      <c r="B33" s="119">
        <f t="shared" si="2"/>
        <v>2</v>
      </c>
      <c r="C33" s="119">
        <f t="shared" si="3"/>
        <v>2</v>
      </c>
      <c r="D33" s="119">
        <f t="shared" si="4"/>
        <v>2</v>
      </c>
      <c r="E33" s="119">
        <f t="shared" si="5"/>
        <v>2</v>
      </c>
      <c r="F33" s="119">
        <f t="shared" si="6"/>
        <v>2</v>
      </c>
      <c r="G33" s="119">
        <f t="shared" si="7"/>
        <v>2</v>
      </c>
      <c r="H33" s="96"/>
      <c r="K33" s="102">
        <v>2</v>
      </c>
      <c r="L33" s="105" t="s">
        <v>33</v>
      </c>
      <c r="M33" s="103">
        <v>11</v>
      </c>
      <c r="O33" s="102">
        <v>2</v>
      </c>
      <c r="P33" s="105" t="s">
        <v>33</v>
      </c>
      <c r="Q33" s="103">
        <v>11</v>
      </c>
    </row>
    <row r="34" spans="1:17" x14ac:dyDescent="0.3">
      <c r="A34" s="118" t="str">
        <f>'FASE OFENSIVA'!A17</f>
        <v>ALYSSON</v>
      </c>
      <c r="B34" s="119">
        <f t="shared" si="2"/>
        <v>2</v>
      </c>
      <c r="C34" s="119">
        <f t="shared" si="3"/>
        <v>2</v>
      </c>
      <c r="D34" s="119">
        <f t="shared" si="4"/>
        <v>2</v>
      </c>
      <c r="E34" s="119">
        <f t="shared" si="5"/>
        <v>2</v>
      </c>
      <c r="F34" s="119">
        <f t="shared" si="6"/>
        <v>2</v>
      </c>
      <c r="G34" s="119">
        <f t="shared" si="7"/>
        <v>2</v>
      </c>
      <c r="H34" s="96"/>
      <c r="K34" s="102">
        <v>2</v>
      </c>
      <c r="L34" s="105" t="s">
        <v>162</v>
      </c>
      <c r="M34" s="103">
        <v>11</v>
      </c>
      <c r="O34" s="102">
        <v>2</v>
      </c>
      <c r="P34" s="105" t="s">
        <v>162</v>
      </c>
      <c r="Q34" s="103">
        <v>11</v>
      </c>
    </row>
    <row r="35" spans="1:17" x14ac:dyDescent="0.3">
      <c r="A35" s="118" t="str">
        <f>'FASE OFENSIVA'!A18</f>
        <v>LÉO ELIAS</v>
      </c>
      <c r="B35" s="119">
        <f t="shared" si="2"/>
        <v>2</v>
      </c>
      <c r="C35" s="119">
        <f t="shared" si="3"/>
        <v>2</v>
      </c>
      <c r="D35" s="119">
        <f t="shared" si="4"/>
        <v>2</v>
      </c>
      <c r="E35" s="119">
        <f t="shared" si="5"/>
        <v>2</v>
      </c>
      <c r="F35" s="119">
        <f t="shared" si="6"/>
        <v>2</v>
      </c>
      <c r="G35" s="119">
        <f t="shared" si="7"/>
        <v>2</v>
      </c>
      <c r="H35" s="96"/>
      <c r="K35" s="102">
        <v>2</v>
      </c>
      <c r="L35" s="125" t="s">
        <v>32</v>
      </c>
      <c r="M35" s="103">
        <v>11</v>
      </c>
      <c r="O35" s="102">
        <v>2</v>
      </c>
      <c r="P35" s="125" t="s">
        <v>32</v>
      </c>
      <c r="Q35" s="103">
        <v>11</v>
      </c>
    </row>
    <row r="36" spans="1:17" x14ac:dyDescent="0.3">
      <c r="A36" s="118" t="str">
        <f>'FASE OFENSIVA'!A19</f>
        <v>LÉO RUDEK</v>
      </c>
      <c r="B36" s="119">
        <f t="shared" si="2"/>
        <v>2</v>
      </c>
      <c r="C36" s="119">
        <f t="shared" si="3"/>
        <v>2</v>
      </c>
      <c r="D36" s="119">
        <f t="shared" si="4"/>
        <v>2</v>
      </c>
      <c r="E36" s="119">
        <f t="shared" si="5"/>
        <v>2</v>
      </c>
      <c r="F36" s="119">
        <f t="shared" si="6"/>
        <v>2</v>
      </c>
      <c r="G36" s="119">
        <f t="shared" si="7"/>
        <v>2</v>
      </c>
      <c r="H36" s="96"/>
      <c r="K36" s="102">
        <v>2</v>
      </c>
      <c r="L36" s="125" t="s">
        <v>34</v>
      </c>
      <c r="M36" s="103">
        <v>11</v>
      </c>
      <c r="O36" s="102">
        <v>2</v>
      </c>
      <c r="P36" s="125" t="s">
        <v>34</v>
      </c>
      <c r="Q36" s="103">
        <v>11</v>
      </c>
    </row>
    <row r="37" spans="1:17" x14ac:dyDescent="0.3">
      <c r="A37" s="118" t="str">
        <f>'FASE OFENSIVA'!A20</f>
        <v>BAISCH</v>
      </c>
      <c r="B37" s="119">
        <f t="shared" si="2"/>
        <v>2</v>
      </c>
      <c r="C37" s="119">
        <f t="shared" si="3"/>
        <v>2</v>
      </c>
      <c r="D37" s="119">
        <f t="shared" si="4"/>
        <v>2</v>
      </c>
      <c r="E37" s="119">
        <f t="shared" si="5"/>
        <v>2</v>
      </c>
      <c r="F37" s="119">
        <f t="shared" si="6"/>
        <v>2</v>
      </c>
      <c r="G37" s="119">
        <f>INDEX($O$46:$P$61,MATCH(A19,$P$46:$P$61,0),1)</f>
        <v>2</v>
      </c>
      <c r="H37" s="96"/>
      <c r="K37" s="102">
        <v>2</v>
      </c>
      <c r="L37" s="125" t="s">
        <v>36</v>
      </c>
      <c r="M37" s="103">
        <v>11</v>
      </c>
      <c r="O37" s="102">
        <v>2</v>
      </c>
      <c r="P37" s="125" t="s">
        <v>36</v>
      </c>
      <c r="Q37" s="103">
        <v>11</v>
      </c>
    </row>
    <row r="38" spans="1:17" x14ac:dyDescent="0.3">
      <c r="H38" s="96"/>
      <c r="K38" s="102">
        <v>2</v>
      </c>
      <c r="L38" s="125" t="s">
        <v>37</v>
      </c>
      <c r="M38" s="103">
        <v>11</v>
      </c>
      <c r="O38" s="102">
        <v>2</v>
      </c>
      <c r="P38" s="125" t="s">
        <v>37</v>
      </c>
      <c r="Q38" s="103">
        <v>11</v>
      </c>
    </row>
    <row r="39" spans="1:17" x14ac:dyDescent="0.3">
      <c r="A39" s="118" t="str">
        <f>'FASE OFENSIVA'!A5</f>
        <v>MATEUS</v>
      </c>
      <c r="B39" s="96">
        <f>SUM(B22:H22)</f>
        <v>6</v>
      </c>
      <c r="C39" s="96">
        <f>103-B39</f>
        <v>97</v>
      </c>
      <c r="H39" s="96"/>
      <c r="K39" s="102">
        <v>2</v>
      </c>
      <c r="L39" s="125" t="s">
        <v>163</v>
      </c>
      <c r="M39" s="103">
        <v>11</v>
      </c>
      <c r="O39" s="102">
        <v>2</v>
      </c>
      <c r="P39" s="125" t="s">
        <v>163</v>
      </c>
      <c r="Q39" s="103">
        <v>11</v>
      </c>
    </row>
    <row r="40" spans="1:17" x14ac:dyDescent="0.3">
      <c r="A40" s="118" t="str">
        <f>'FASE OFENSIVA'!A6</f>
        <v>RAFINHA</v>
      </c>
      <c r="B40" s="96">
        <f t="shared" ref="B40:B54" si="8">SUM(B23:H23)</f>
        <v>12</v>
      </c>
      <c r="C40" s="96">
        <f t="shared" ref="C40:C54" si="9">103-B40</f>
        <v>91</v>
      </c>
      <c r="K40" s="102">
        <v>2</v>
      </c>
      <c r="L40" s="125" t="s">
        <v>161</v>
      </c>
      <c r="M40" s="103">
        <v>11</v>
      </c>
      <c r="O40" s="102">
        <v>2</v>
      </c>
      <c r="P40" s="125" t="s">
        <v>161</v>
      </c>
      <c r="Q40" s="103">
        <v>11</v>
      </c>
    </row>
    <row r="41" spans="1:17" x14ac:dyDescent="0.3">
      <c r="A41" s="118" t="str">
        <f>'FASE OFENSIVA'!A7</f>
        <v>TARIQ</v>
      </c>
      <c r="B41" s="96">
        <f t="shared" si="8"/>
        <v>12</v>
      </c>
      <c r="C41" s="96">
        <f t="shared" si="9"/>
        <v>91</v>
      </c>
    </row>
    <row r="42" spans="1:17" x14ac:dyDescent="0.3">
      <c r="A42" s="118" t="str">
        <f>'FASE OFENSIVA'!A8</f>
        <v>TETEU</v>
      </c>
      <c r="B42" s="96">
        <f t="shared" si="8"/>
        <v>12</v>
      </c>
      <c r="C42" s="96">
        <f t="shared" si="9"/>
        <v>91</v>
      </c>
    </row>
    <row r="43" spans="1:17" x14ac:dyDescent="0.3">
      <c r="A43" s="118" t="str">
        <f>'FASE OFENSIVA'!A9</f>
        <v>LORENZO</v>
      </c>
      <c r="B43" s="96">
        <f t="shared" si="8"/>
        <v>12</v>
      </c>
      <c r="C43" s="96">
        <f t="shared" si="9"/>
        <v>91</v>
      </c>
      <c r="K43" s="186" t="s">
        <v>103</v>
      </c>
      <c r="L43" s="186"/>
      <c r="M43" s="186" t="s">
        <v>15</v>
      </c>
      <c r="O43" s="186" t="s">
        <v>103</v>
      </c>
      <c r="P43" s="186"/>
      <c r="Q43" s="186" t="s">
        <v>15</v>
      </c>
    </row>
    <row r="44" spans="1:17" x14ac:dyDescent="0.3">
      <c r="A44" s="118" t="str">
        <f>'FASE OFENSIVA'!A10</f>
        <v>PEPO</v>
      </c>
      <c r="B44" s="96">
        <f t="shared" si="8"/>
        <v>12</v>
      </c>
      <c r="C44" s="96">
        <f t="shared" si="9"/>
        <v>91</v>
      </c>
      <c r="K44" s="208" t="s">
        <v>147</v>
      </c>
      <c r="L44" s="208"/>
      <c r="M44" s="208"/>
      <c r="O44" s="208" t="s">
        <v>148</v>
      </c>
      <c r="P44" s="208"/>
      <c r="Q44" s="208"/>
    </row>
    <row r="45" spans="1:17" x14ac:dyDescent="0.3">
      <c r="A45" s="118" t="str">
        <f>'FASE OFENSIVA'!A11</f>
        <v>ROGÉRIO</v>
      </c>
      <c r="B45" s="96">
        <f t="shared" si="8"/>
        <v>12</v>
      </c>
      <c r="C45" s="96">
        <f t="shared" si="9"/>
        <v>91</v>
      </c>
      <c r="K45" s="68" t="s">
        <v>110</v>
      </c>
      <c r="L45" s="69" t="s">
        <v>112</v>
      </c>
      <c r="M45" s="68" t="s">
        <v>111</v>
      </c>
      <c r="O45" s="68" t="s">
        <v>110</v>
      </c>
      <c r="P45" s="69" t="s">
        <v>112</v>
      </c>
      <c r="Q45" s="68" t="s">
        <v>111</v>
      </c>
    </row>
    <row r="46" spans="1:17" x14ac:dyDescent="0.3">
      <c r="A46" s="118" t="str">
        <f>'FASE OFENSIVA'!A12</f>
        <v>LUCAS SENNA</v>
      </c>
      <c r="B46" s="96">
        <f t="shared" si="8"/>
        <v>12</v>
      </c>
      <c r="C46" s="96">
        <f t="shared" si="9"/>
        <v>91</v>
      </c>
      <c r="K46" s="102">
        <v>1</v>
      </c>
      <c r="L46" s="104" t="s">
        <v>25</v>
      </c>
      <c r="M46" s="103">
        <v>26.666666666666664</v>
      </c>
      <c r="O46" s="102">
        <v>1</v>
      </c>
      <c r="P46" s="104" t="s">
        <v>25</v>
      </c>
      <c r="Q46" s="103">
        <v>57.142857142857146</v>
      </c>
    </row>
    <row r="47" spans="1:17" x14ac:dyDescent="0.3">
      <c r="A47" s="118" t="str">
        <f>'FASE OFENSIVA'!A13</f>
        <v>GARCIA</v>
      </c>
      <c r="B47" s="96">
        <f t="shared" si="8"/>
        <v>12</v>
      </c>
      <c r="C47" s="96">
        <f t="shared" si="9"/>
        <v>91</v>
      </c>
      <c r="K47" s="102">
        <v>2</v>
      </c>
      <c r="L47" s="104" t="s">
        <v>26</v>
      </c>
      <c r="M47" s="103">
        <v>11</v>
      </c>
      <c r="O47" s="102">
        <v>2</v>
      </c>
      <c r="P47" s="104" t="s">
        <v>26</v>
      </c>
      <c r="Q47" s="103">
        <v>11</v>
      </c>
    </row>
    <row r="48" spans="1:17" x14ac:dyDescent="0.3">
      <c r="A48" s="118" t="str">
        <f>'FASE OFENSIVA'!A14</f>
        <v>FOGO</v>
      </c>
      <c r="B48" s="96">
        <f t="shared" si="8"/>
        <v>12</v>
      </c>
      <c r="C48" s="96">
        <f t="shared" si="9"/>
        <v>91</v>
      </c>
      <c r="K48" s="102">
        <v>2</v>
      </c>
      <c r="L48" s="104" t="s">
        <v>24</v>
      </c>
      <c r="M48" s="103">
        <v>11</v>
      </c>
      <c r="O48" s="102">
        <v>2</v>
      </c>
      <c r="P48" s="104" t="s">
        <v>24</v>
      </c>
      <c r="Q48" s="103">
        <v>11</v>
      </c>
    </row>
    <row r="49" spans="1:17" x14ac:dyDescent="0.3">
      <c r="A49" s="118" t="str">
        <f>'FASE OFENSIVA'!A15</f>
        <v>TITO</v>
      </c>
      <c r="B49" s="96">
        <f t="shared" si="8"/>
        <v>12</v>
      </c>
      <c r="C49" s="96">
        <f t="shared" si="9"/>
        <v>91</v>
      </c>
      <c r="K49" s="102">
        <v>2</v>
      </c>
      <c r="L49" s="104" t="s">
        <v>27</v>
      </c>
      <c r="M49" s="103">
        <v>11</v>
      </c>
      <c r="O49" s="102">
        <v>2</v>
      </c>
      <c r="P49" s="104" t="s">
        <v>27</v>
      </c>
      <c r="Q49" s="103">
        <v>11</v>
      </c>
    </row>
    <row r="50" spans="1:17" x14ac:dyDescent="0.3">
      <c r="A50" s="118" t="str">
        <f>'FASE OFENSIVA'!A16</f>
        <v>PIETRO</v>
      </c>
      <c r="B50" s="96">
        <f t="shared" si="8"/>
        <v>12</v>
      </c>
      <c r="C50" s="96">
        <f t="shared" si="9"/>
        <v>91</v>
      </c>
      <c r="K50" s="102">
        <v>2</v>
      </c>
      <c r="L50" s="105" t="s">
        <v>31</v>
      </c>
      <c r="M50" s="103">
        <v>11</v>
      </c>
      <c r="O50" s="102">
        <v>2</v>
      </c>
      <c r="P50" s="105" t="s">
        <v>31</v>
      </c>
      <c r="Q50" s="103">
        <v>11</v>
      </c>
    </row>
    <row r="51" spans="1:17" x14ac:dyDescent="0.3">
      <c r="A51" s="118" t="str">
        <f>'FASE OFENSIVA'!A17</f>
        <v>ALYSSON</v>
      </c>
      <c r="B51" s="96">
        <f t="shared" si="8"/>
        <v>12</v>
      </c>
      <c r="C51" s="96">
        <f t="shared" si="9"/>
        <v>91</v>
      </c>
      <c r="K51" s="102">
        <v>2</v>
      </c>
      <c r="L51" s="105" t="s">
        <v>29</v>
      </c>
      <c r="M51" s="103">
        <v>11</v>
      </c>
      <c r="O51" s="102">
        <v>2</v>
      </c>
      <c r="P51" s="105" t="s">
        <v>29</v>
      </c>
      <c r="Q51" s="103">
        <v>11</v>
      </c>
    </row>
    <row r="52" spans="1:17" x14ac:dyDescent="0.3">
      <c r="A52" s="118" t="str">
        <f>'FASE OFENSIVA'!A18</f>
        <v>LÉO ELIAS</v>
      </c>
      <c r="B52" s="96">
        <f t="shared" si="8"/>
        <v>12</v>
      </c>
      <c r="C52" s="96">
        <f t="shared" si="9"/>
        <v>91</v>
      </c>
      <c r="K52" s="102">
        <v>2</v>
      </c>
      <c r="L52" s="105" t="s">
        <v>28</v>
      </c>
      <c r="M52" s="103">
        <v>11</v>
      </c>
      <c r="O52" s="102">
        <v>2</v>
      </c>
      <c r="P52" s="105" t="s">
        <v>28</v>
      </c>
      <c r="Q52" s="103">
        <v>11</v>
      </c>
    </row>
    <row r="53" spans="1:17" x14ac:dyDescent="0.3">
      <c r="A53" s="118" t="str">
        <f>'FASE OFENSIVA'!A19</f>
        <v>LÉO RUDEK</v>
      </c>
      <c r="B53" s="96">
        <f t="shared" si="8"/>
        <v>12</v>
      </c>
      <c r="C53" s="96">
        <f t="shared" si="9"/>
        <v>91</v>
      </c>
      <c r="K53" s="102">
        <v>2</v>
      </c>
      <c r="L53" s="105" t="s">
        <v>164</v>
      </c>
      <c r="M53" s="103">
        <v>11</v>
      </c>
      <c r="O53" s="102">
        <v>2</v>
      </c>
      <c r="P53" s="105" t="s">
        <v>164</v>
      </c>
      <c r="Q53" s="103">
        <v>11</v>
      </c>
    </row>
    <row r="54" spans="1:17" x14ac:dyDescent="0.3">
      <c r="A54" s="118" t="str">
        <f>'FASE OFENSIVA'!A20</f>
        <v>BAISCH</v>
      </c>
      <c r="B54" s="96">
        <f t="shared" si="8"/>
        <v>12</v>
      </c>
      <c r="C54" s="96">
        <f t="shared" si="9"/>
        <v>91</v>
      </c>
      <c r="K54" s="102">
        <v>2</v>
      </c>
      <c r="L54" s="105" t="s">
        <v>33</v>
      </c>
      <c r="M54" s="103">
        <v>11</v>
      </c>
      <c r="O54" s="102">
        <v>2</v>
      </c>
      <c r="P54" s="105" t="s">
        <v>33</v>
      </c>
      <c r="Q54" s="103">
        <v>11</v>
      </c>
    </row>
    <row r="55" spans="1:17" x14ac:dyDescent="0.3">
      <c r="K55" s="102">
        <v>2</v>
      </c>
      <c r="L55" s="105" t="s">
        <v>162</v>
      </c>
      <c r="M55" s="103">
        <v>11</v>
      </c>
      <c r="O55" s="102">
        <v>2</v>
      </c>
      <c r="P55" s="105" t="s">
        <v>162</v>
      </c>
      <c r="Q55" s="103">
        <v>11</v>
      </c>
    </row>
    <row r="56" spans="1:17" x14ac:dyDescent="0.3">
      <c r="K56" s="102">
        <v>2</v>
      </c>
      <c r="L56" s="124" t="s">
        <v>32</v>
      </c>
      <c r="M56" s="103">
        <v>11</v>
      </c>
      <c r="O56" s="102">
        <v>2</v>
      </c>
      <c r="P56" s="124" t="s">
        <v>32</v>
      </c>
      <c r="Q56" s="103">
        <v>11</v>
      </c>
    </row>
    <row r="57" spans="1:17" x14ac:dyDescent="0.3">
      <c r="K57" s="102">
        <v>2</v>
      </c>
      <c r="L57" s="124" t="s">
        <v>34</v>
      </c>
      <c r="M57" s="103">
        <v>11</v>
      </c>
      <c r="O57" s="102">
        <v>2</v>
      </c>
      <c r="P57" s="124" t="s">
        <v>34</v>
      </c>
      <c r="Q57" s="103">
        <v>11</v>
      </c>
    </row>
    <row r="58" spans="1:17" x14ac:dyDescent="0.3">
      <c r="K58" s="102">
        <v>2</v>
      </c>
      <c r="L58" s="124" t="s">
        <v>36</v>
      </c>
      <c r="M58" s="103">
        <v>11</v>
      </c>
      <c r="O58" s="102">
        <v>2</v>
      </c>
      <c r="P58" s="124" t="s">
        <v>36</v>
      </c>
      <c r="Q58" s="103">
        <v>11</v>
      </c>
    </row>
    <row r="59" spans="1:17" x14ac:dyDescent="0.3">
      <c r="K59" s="102">
        <v>2</v>
      </c>
      <c r="L59" s="124" t="s">
        <v>37</v>
      </c>
      <c r="M59" s="103">
        <v>11</v>
      </c>
      <c r="O59" s="102">
        <v>2</v>
      </c>
      <c r="P59" s="124" t="s">
        <v>37</v>
      </c>
      <c r="Q59" s="103">
        <v>11</v>
      </c>
    </row>
    <row r="60" spans="1:17" x14ac:dyDescent="0.3">
      <c r="K60" s="102">
        <v>2</v>
      </c>
      <c r="L60" s="124" t="s">
        <v>163</v>
      </c>
      <c r="M60" s="103">
        <v>11</v>
      </c>
      <c r="O60" s="102">
        <v>2</v>
      </c>
      <c r="P60" s="124" t="s">
        <v>163</v>
      </c>
      <c r="Q60" s="103">
        <v>11</v>
      </c>
    </row>
    <row r="61" spans="1:17" x14ac:dyDescent="0.3">
      <c r="K61" s="102">
        <v>2</v>
      </c>
      <c r="L61" s="124" t="s">
        <v>161</v>
      </c>
      <c r="M61" s="103">
        <v>11</v>
      </c>
      <c r="O61" s="102">
        <v>2</v>
      </c>
      <c r="P61" s="124" t="s">
        <v>161</v>
      </c>
      <c r="Q61" s="103">
        <v>11</v>
      </c>
    </row>
  </sheetData>
  <sortState xmlns:xlrd2="http://schemas.microsoft.com/office/spreadsheetml/2017/richdata2" ref="P46:Q61">
    <sortCondition descending="1" ref="Q46:Q61"/>
  </sortState>
  <mergeCells count="15">
    <mergeCell ref="K44:M44"/>
    <mergeCell ref="O44:Q44"/>
    <mergeCell ref="B1:G1"/>
    <mergeCell ref="B2:C2"/>
    <mergeCell ref="D2:E2"/>
    <mergeCell ref="K22:M22"/>
    <mergeCell ref="O22:Q22"/>
    <mergeCell ref="K23:M23"/>
    <mergeCell ref="O23:Q23"/>
    <mergeCell ref="K43:M43"/>
    <mergeCell ref="O43:Q43"/>
    <mergeCell ref="K1:M1"/>
    <mergeCell ref="O1:Q1"/>
    <mergeCell ref="K2:M2"/>
    <mergeCell ref="O2:Q2"/>
  </mergeCells>
  <conditionalFormatting sqref="B4:G19">
    <cfRule type="dataBar" priority="4">
      <dataBar>
        <cfvo type="min"/>
        <cfvo type="num" val="100"/>
        <color theme="5" tint="0.39997558519241921"/>
      </dataBar>
      <extLst>
        <ext xmlns:x14="http://schemas.microsoft.com/office/spreadsheetml/2009/9/main" uri="{B025F937-C7B1-47D3-B67F-A62EFF666E3E}">
          <x14:id>{2820ADD6-4748-4DDC-9858-DCA3ADEA8115}</x14:id>
        </ext>
      </extLst>
    </cfRule>
    <cfRule type="colorScale" priority="5">
      <colorScale>
        <cfvo type="min"/>
        <cfvo type="max"/>
        <color theme="5" tint="0.39997558519241921"/>
        <color theme="5" tint="-0.499984740745262"/>
      </colorScale>
    </cfRule>
    <cfRule type="dataBar" priority="6">
      <dataBar>
        <cfvo type="min"/>
        <cfvo type="num" val="100"/>
        <color theme="5" tint="0.39997558519241921"/>
      </dataBar>
      <extLst>
        <ext xmlns:x14="http://schemas.microsoft.com/office/spreadsheetml/2009/9/main" uri="{B025F937-C7B1-47D3-B67F-A62EFF666E3E}">
          <x14:id>{7639F741-FB9B-44D9-A8DF-3117BD9A8C32}</x14:id>
        </ext>
      </extLst>
    </cfRule>
    <cfRule type="colorScale" priority="7">
      <colorScale>
        <cfvo type="min"/>
        <cfvo type="num" val="100"/>
        <color theme="5" tint="0.39997558519241921"/>
        <color theme="5" tint="-0.499984740745262"/>
      </colorScale>
    </cfRule>
  </conditionalFormatting>
  <conditionalFormatting sqref="B22:G3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percentile" val="10"/>
        <cfvo type="num" val="0"/>
        <color rgb="FFFF7128"/>
        <color rgb="FFFFEF9C"/>
      </colorScale>
    </cfRule>
  </conditionalFormatting>
  <conditionalFormatting sqref="C39:C5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820ADD6-4748-4DDC-9858-DCA3ADEA8115}">
            <x14:dataBar minLength="0" maxLength="100" border="1" gradient="0" axisPosition="middle">
              <x14:cfvo type="min"/>
              <x14:cfvo type="num">
                <xm:f>100</xm:f>
              </x14:cfvo>
              <x14:borderColor theme="0"/>
              <x14:negativeFillColor rgb="FFFF0000"/>
              <x14:axisColor rgb="FF000000"/>
            </x14:dataBar>
          </x14:cfRule>
          <x14:cfRule type="dataBar" id="{7639F741-FB9B-44D9-A8DF-3117BD9A8C32}">
            <x14:dataBar minLength="0" maxLength="100" border="1" gradient="0">
              <x14:cfvo type="min"/>
              <x14:cfvo type="num">
                <xm:f>100</xm:f>
              </x14:cfvo>
              <x14:borderColor theme="0" tint="-4.9989318521683403E-2"/>
              <x14:negativeFillColor rgb="FFFF0000"/>
              <x14:axisColor rgb="FF000000"/>
            </x14:dataBar>
          </x14:cfRule>
          <xm:sqref>B4:G19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BAF37-AE24-4FE2-A364-1414CAFCA6CF}">
  <sheetPr codeName="Planilha10"/>
  <dimension ref="A1:R38"/>
  <sheetViews>
    <sheetView topLeftCell="A19" workbookViewId="0">
      <selection activeCell="F22" sqref="F22"/>
    </sheetView>
  </sheetViews>
  <sheetFormatPr defaultRowHeight="14.4" x14ac:dyDescent="0.3"/>
  <cols>
    <col min="1" max="1" width="12.6640625" style="53" customWidth="1"/>
    <col min="2" max="2" width="13.33203125" style="46" customWidth="1"/>
    <col min="3" max="3" width="13.33203125" style="52" customWidth="1"/>
    <col min="4" max="4" width="13.33203125" style="46" customWidth="1"/>
    <col min="6" max="7" width="8.88671875" style="52"/>
    <col min="8" max="8" width="5.109375" style="52" customWidth="1"/>
    <col min="9" max="9" width="18.88671875" style="52" customWidth="1"/>
    <col min="10" max="10" width="8.88671875" style="52"/>
    <col min="11" max="11" width="2.21875" style="52" customWidth="1"/>
    <col min="12" max="12" width="5.109375" style="52" customWidth="1"/>
    <col min="13" max="13" width="18.88671875" style="52" customWidth="1"/>
    <col min="14" max="14" width="8.88671875" style="52"/>
    <col min="15" max="15" width="2.21875" style="52" customWidth="1"/>
    <col min="16" max="16" width="5.109375" style="52" customWidth="1"/>
    <col min="17" max="17" width="18.88671875" style="52" customWidth="1"/>
    <col min="18" max="18" width="8.88671875" style="52"/>
  </cols>
  <sheetData>
    <row r="1" spans="1:18" ht="15.6" x14ac:dyDescent="0.3">
      <c r="A1" s="81"/>
      <c r="B1" s="199" t="s">
        <v>22</v>
      </c>
      <c r="C1" s="199"/>
      <c r="D1" s="199"/>
      <c r="H1" s="209" t="s">
        <v>16</v>
      </c>
      <c r="I1" s="209"/>
      <c r="J1" s="209" t="s">
        <v>15</v>
      </c>
      <c r="L1" s="209" t="s">
        <v>16</v>
      </c>
      <c r="M1" s="209"/>
      <c r="N1" s="209" t="s">
        <v>15</v>
      </c>
      <c r="P1" s="209" t="s">
        <v>16</v>
      </c>
      <c r="Q1" s="209"/>
      <c r="R1" s="209" t="s">
        <v>15</v>
      </c>
    </row>
    <row r="2" spans="1:18" x14ac:dyDescent="0.3">
      <c r="A2" s="82"/>
      <c r="B2" s="89"/>
      <c r="C2" s="90"/>
      <c r="D2" s="89"/>
      <c r="H2" s="210" t="s">
        <v>151</v>
      </c>
      <c r="I2" s="210"/>
      <c r="J2" s="210"/>
      <c r="L2" s="210" t="s">
        <v>158</v>
      </c>
      <c r="M2" s="210"/>
      <c r="N2" s="210"/>
      <c r="P2" s="210" t="s">
        <v>152</v>
      </c>
      <c r="Q2" s="210"/>
      <c r="R2" s="210"/>
    </row>
    <row r="3" spans="1:18" x14ac:dyDescent="0.3">
      <c r="A3" s="64" t="s">
        <v>2</v>
      </c>
      <c r="B3" s="89" t="s">
        <v>151</v>
      </c>
      <c r="C3" s="90" t="s">
        <v>22</v>
      </c>
      <c r="D3" s="89" t="s">
        <v>152</v>
      </c>
      <c r="H3" s="121" t="s">
        <v>110</v>
      </c>
      <c r="I3" s="122" t="s">
        <v>112</v>
      </c>
      <c r="J3" s="121" t="s">
        <v>111</v>
      </c>
      <c r="L3" s="121" t="s">
        <v>110</v>
      </c>
      <c r="M3" s="122" t="s">
        <v>112</v>
      </c>
      <c r="N3" s="121" t="s">
        <v>111</v>
      </c>
      <c r="P3" s="121" t="s">
        <v>110</v>
      </c>
      <c r="Q3" s="122" t="s">
        <v>112</v>
      </c>
      <c r="R3" s="121" t="s">
        <v>111</v>
      </c>
    </row>
    <row r="4" spans="1:18" x14ac:dyDescent="0.3">
      <c r="A4" s="85" t="str">
        <f>'FASE OFENSIVA'!A5</f>
        <v>MATEUS</v>
      </c>
      <c r="B4" s="94">
        <f>'FASE DEFENSIVA'!AG5</f>
        <v>66.666666666666671</v>
      </c>
      <c r="C4" s="94">
        <f>Índices!T4</f>
        <v>29.664682539682541</v>
      </c>
      <c r="D4" s="94">
        <f>Índices!U4</f>
        <v>27.472222222222225</v>
      </c>
      <c r="H4" s="123">
        <v>1</v>
      </c>
      <c r="I4" s="126" t="s">
        <v>25</v>
      </c>
      <c r="J4" s="120">
        <v>66.666666666666671</v>
      </c>
      <c r="L4" s="123">
        <v>1</v>
      </c>
      <c r="M4" s="126" t="s">
        <v>25</v>
      </c>
      <c r="N4" s="120">
        <v>29.664682539682541</v>
      </c>
      <c r="P4" s="123">
        <v>1</v>
      </c>
      <c r="Q4" s="126" t="s">
        <v>25</v>
      </c>
      <c r="R4" s="120">
        <v>27.472222222222225</v>
      </c>
    </row>
    <row r="5" spans="1:18" x14ac:dyDescent="0.3">
      <c r="A5" s="85" t="str">
        <f>'FASE OFENSIVA'!A6</f>
        <v>RAFINHA</v>
      </c>
      <c r="B5" s="94">
        <f>'FASE DEFENSIVA'!AG6</f>
        <v>11</v>
      </c>
      <c r="C5" s="94">
        <f>Índices!T5</f>
        <v>11</v>
      </c>
      <c r="D5" s="94">
        <f>Índices!U5</f>
        <v>11</v>
      </c>
      <c r="H5" s="123">
        <v>2</v>
      </c>
      <c r="I5" s="126" t="s">
        <v>26</v>
      </c>
      <c r="J5" s="120">
        <v>11</v>
      </c>
      <c r="L5" s="123">
        <v>2</v>
      </c>
      <c r="M5" s="126" t="s">
        <v>164</v>
      </c>
      <c r="N5" s="120">
        <v>14</v>
      </c>
      <c r="P5" s="123">
        <v>2</v>
      </c>
      <c r="Q5" s="126" t="s">
        <v>26</v>
      </c>
      <c r="R5" s="120">
        <v>11</v>
      </c>
    </row>
    <row r="6" spans="1:18" x14ac:dyDescent="0.3">
      <c r="A6" s="85" t="str">
        <f>'FASE OFENSIVA'!A7</f>
        <v>TARIQ</v>
      </c>
      <c r="B6" s="94">
        <f>'FASE DEFENSIVA'!AG7</f>
        <v>11</v>
      </c>
      <c r="C6" s="94">
        <f>Índices!T6</f>
        <v>11</v>
      </c>
      <c r="D6" s="94">
        <f>Índices!U6</f>
        <v>11</v>
      </c>
      <c r="H6" s="123">
        <v>2</v>
      </c>
      <c r="I6" s="126" t="s">
        <v>24</v>
      </c>
      <c r="J6" s="120">
        <v>11</v>
      </c>
      <c r="L6" s="123">
        <v>3</v>
      </c>
      <c r="M6" s="126" t="s">
        <v>24</v>
      </c>
      <c r="N6" s="120">
        <v>11</v>
      </c>
      <c r="P6" s="123">
        <v>2</v>
      </c>
      <c r="Q6" s="126" t="s">
        <v>24</v>
      </c>
      <c r="R6" s="120">
        <v>11</v>
      </c>
    </row>
    <row r="7" spans="1:18" x14ac:dyDescent="0.3">
      <c r="A7" s="85" t="str">
        <f>'FASE OFENSIVA'!A8</f>
        <v>TETEU</v>
      </c>
      <c r="B7" s="94">
        <f>'FASE DEFENSIVA'!AG8</f>
        <v>11</v>
      </c>
      <c r="C7" s="94">
        <f>Índices!T7</f>
        <v>11</v>
      </c>
      <c r="D7" s="94">
        <f>Índices!U7</f>
        <v>11</v>
      </c>
      <c r="H7" s="123">
        <v>2</v>
      </c>
      <c r="I7" s="126" t="s">
        <v>27</v>
      </c>
      <c r="J7" s="120">
        <v>11</v>
      </c>
      <c r="L7" s="123">
        <v>3</v>
      </c>
      <c r="M7" s="126" t="s">
        <v>27</v>
      </c>
      <c r="N7" s="120">
        <v>11</v>
      </c>
      <c r="P7" s="123">
        <v>2</v>
      </c>
      <c r="Q7" s="126" t="s">
        <v>27</v>
      </c>
      <c r="R7" s="120">
        <v>11</v>
      </c>
    </row>
    <row r="8" spans="1:18" x14ac:dyDescent="0.3">
      <c r="A8" s="85" t="str">
        <f>'FASE OFENSIVA'!A9</f>
        <v>LORENZO</v>
      </c>
      <c r="B8" s="94">
        <f>'FASE DEFENSIVA'!AG9</f>
        <v>11</v>
      </c>
      <c r="C8" s="94">
        <f>Índices!T8</f>
        <v>11</v>
      </c>
      <c r="D8" s="94">
        <f>Índices!U8</f>
        <v>11</v>
      </c>
      <c r="H8" s="123">
        <v>2</v>
      </c>
      <c r="I8" s="85" t="s">
        <v>31</v>
      </c>
      <c r="J8" s="120">
        <v>11</v>
      </c>
      <c r="L8" s="123">
        <v>3</v>
      </c>
      <c r="M8" s="85" t="s">
        <v>31</v>
      </c>
      <c r="N8" s="120">
        <v>11</v>
      </c>
      <c r="P8" s="123">
        <v>2</v>
      </c>
      <c r="Q8" s="85" t="s">
        <v>31</v>
      </c>
      <c r="R8" s="120">
        <v>11</v>
      </c>
    </row>
    <row r="9" spans="1:18" x14ac:dyDescent="0.3">
      <c r="A9" s="85" t="str">
        <f>'FASE OFENSIVA'!A10</f>
        <v>PEPO</v>
      </c>
      <c r="B9" s="94">
        <f>'FASE DEFENSIVA'!AG10</f>
        <v>11</v>
      </c>
      <c r="C9" s="94">
        <f>Índices!T9</f>
        <v>11</v>
      </c>
      <c r="D9" s="94">
        <f>Índices!U9</f>
        <v>11</v>
      </c>
      <c r="H9" s="123">
        <v>2</v>
      </c>
      <c r="I9" s="85" t="s">
        <v>29</v>
      </c>
      <c r="J9" s="120">
        <v>11</v>
      </c>
      <c r="L9" s="123">
        <v>3</v>
      </c>
      <c r="M9" s="85" t="s">
        <v>29</v>
      </c>
      <c r="N9" s="120">
        <v>11</v>
      </c>
      <c r="P9" s="123">
        <v>2</v>
      </c>
      <c r="Q9" s="85" t="s">
        <v>29</v>
      </c>
      <c r="R9" s="120">
        <v>11</v>
      </c>
    </row>
    <row r="10" spans="1:18" x14ac:dyDescent="0.3">
      <c r="A10" s="85" t="str">
        <f>'FASE OFENSIVA'!A11</f>
        <v>ROGÉRIO</v>
      </c>
      <c r="B10" s="94">
        <f>'FASE DEFENSIVA'!AG11</f>
        <v>11</v>
      </c>
      <c r="C10" s="94">
        <f>Índices!T10</f>
        <v>11</v>
      </c>
      <c r="D10" s="94">
        <f>Índices!U10</f>
        <v>11</v>
      </c>
      <c r="H10" s="123">
        <v>2</v>
      </c>
      <c r="I10" s="85" t="s">
        <v>28</v>
      </c>
      <c r="J10" s="120">
        <v>11</v>
      </c>
      <c r="L10" s="123">
        <v>3</v>
      </c>
      <c r="M10" s="85" t="s">
        <v>28</v>
      </c>
      <c r="N10" s="120">
        <v>11</v>
      </c>
      <c r="P10" s="123">
        <v>2</v>
      </c>
      <c r="Q10" s="85" t="s">
        <v>28</v>
      </c>
      <c r="R10" s="120">
        <v>11</v>
      </c>
    </row>
    <row r="11" spans="1:18" x14ac:dyDescent="0.3">
      <c r="A11" s="85" t="str">
        <f>'FASE OFENSIVA'!A12</f>
        <v>LUCAS SENNA</v>
      </c>
      <c r="B11" s="94">
        <f>'FASE DEFENSIVA'!AG12</f>
        <v>0</v>
      </c>
      <c r="C11" s="94">
        <f>Índices!T11</f>
        <v>14</v>
      </c>
      <c r="D11" s="94">
        <f>Índices!U11</f>
        <v>11</v>
      </c>
      <c r="H11" s="123">
        <v>2</v>
      </c>
      <c r="I11" s="85" t="s">
        <v>33</v>
      </c>
      <c r="J11" s="120">
        <v>11</v>
      </c>
      <c r="L11" s="123">
        <v>3</v>
      </c>
      <c r="M11" s="85" t="s">
        <v>26</v>
      </c>
      <c r="N11" s="120">
        <v>11</v>
      </c>
      <c r="P11" s="123">
        <v>2</v>
      </c>
      <c r="Q11" s="85" t="s">
        <v>164</v>
      </c>
      <c r="R11" s="120">
        <v>11</v>
      </c>
    </row>
    <row r="12" spans="1:18" x14ac:dyDescent="0.3">
      <c r="A12" s="85" t="str">
        <f>'FASE OFENSIVA'!A13</f>
        <v>GARCIA</v>
      </c>
      <c r="B12" s="94">
        <f>'FASE DEFENSIVA'!AG13</f>
        <v>11</v>
      </c>
      <c r="C12" s="94">
        <f>Índices!T12</f>
        <v>11</v>
      </c>
      <c r="D12" s="94">
        <f>Índices!U12</f>
        <v>11</v>
      </c>
      <c r="H12" s="123">
        <v>2</v>
      </c>
      <c r="I12" s="85" t="s">
        <v>162</v>
      </c>
      <c r="J12" s="120">
        <v>11</v>
      </c>
      <c r="L12" s="123">
        <v>3</v>
      </c>
      <c r="M12" s="85" t="s">
        <v>33</v>
      </c>
      <c r="N12" s="120">
        <v>11</v>
      </c>
      <c r="P12" s="123">
        <v>2</v>
      </c>
      <c r="Q12" s="85" t="s">
        <v>33</v>
      </c>
      <c r="R12" s="120">
        <v>11</v>
      </c>
    </row>
    <row r="13" spans="1:18" x14ac:dyDescent="0.3">
      <c r="A13" s="85" t="str">
        <f>'FASE OFENSIVA'!A14</f>
        <v>FOGO</v>
      </c>
      <c r="B13" s="94">
        <f>'FASE DEFENSIVA'!AG14</f>
        <v>11</v>
      </c>
      <c r="C13" s="94">
        <f>Índices!T13</f>
        <v>11</v>
      </c>
      <c r="D13" s="94">
        <f>Índices!U13</f>
        <v>11</v>
      </c>
      <c r="H13" s="123">
        <v>2</v>
      </c>
      <c r="I13" s="85" t="s">
        <v>32</v>
      </c>
      <c r="J13" s="120">
        <v>11</v>
      </c>
      <c r="L13" s="123">
        <v>3</v>
      </c>
      <c r="M13" s="85" t="s">
        <v>162</v>
      </c>
      <c r="N13" s="120">
        <v>11</v>
      </c>
      <c r="P13" s="123">
        <v>2</v>
      </c>
      <c r="Q13" s="85" t="s">
        <v>162</v>
      </c>
      <c r="R13" s="120">
        <v>11</v>
      </c>
    </row>
    <row r="14" spans="1:18" x14ac:dyDescent="0.3">
      <c r="A14" s="85" t="str">
        <f>'FASE OFENSIVA'!A15</f>
        <v>TITO</v>
      </c>
      <c r="B14" s="94">
        <f>'FASE DEFENSIVA'!AG15</f>
        <v>11</v>
      </c>
      <c r="C14" s="94">
        <f>Índices!T14</f>
        <v>11</v>
      </c>
      <c r="D14" s="94">
        <f>Índices!U14</f>
        <v>11</v>
      </c>
      <c r="H14" s="123">
        <v>2</v>
      </c>
      <c r="I14" s="125" t="s">
        <v>34</v>
      </c>
      <c r="J14" s="120">
        <v>11</v>
      </c>
      <c r="L14" s="123">
        <v>3</v>
      </c>
      <c r="M14" s="125" t="s">
        <v>32</v>
      </c>
      <c r="N14" s="120">
        <v>11</v>
      </c>
      <c r="P14" s="123">
        <v>2</v>
      </c>
      <c r="Q14" s="125" t="s">
        <v>32</v>
      </c>
      <c r="R14" s="120">
        <v>11</v>
      </c>
    </row>
    <row r="15" spans="1:18" x14ac:dyDescent="0.3">
      <c r="A15" s="85" t="str">
        <f>'FASE OFENSIVA'!A16</f>
        <v>PIETRO</v>
      </c>
      <c r="B15" s="94">
        <f>'FASE DEFENSIVA'!AG16</f>
        <v>11</v>
      </c>
      <c r="C15" s="94">
        <f>Índices!T15</f>
        <v>11</v>
      </c>
      <c r="D15" s="94">
        <f>Índices!U15</f>
        <v>11</v>
      </c>
      <c r="H15" s="123">
        <v>2</v>
      </c>
      <c r="I15" s="125" t="s">
        <v>36</v>
      </c>
      <c r="J15" s="120">
        <v>11</v>
      </c>
      <c r="L15" s="123">
        <v>3</v>
      </c>
      <c r="M15" s="125" t="s">
        <v>34</v>
      </c>
      <c r="N15" s="120">
        <v>11</v>
      </c>
      <c r="P15" s="123">
        <v>2</v>
      </c>
      <c r="Q15" s="125" t="s">
        <v>34</v>
      </c>
      <c r="R15" s="120">
        <v>11</v>
      </c>
    </row>
    <row r="16" spans="1:18" x14ac:dyDescent="0.3">
      <c r="A16" s="85" t="str">
        <f>'FASE OFENSIVA'!A17</f>
        <v>ALYSSON</v>
      </c>
      <c r="B16" s="94">
        <f>'FASE DEFENSIVA'!AG17</f>
        <v>11</v>
      </c>
      <c r="C16" s="94">
        <f>Índices!T16</f>
        <v>11</v>
      </c>
      <c r="D16" s="94">
        <f>Índices!U16</f>
        <v>11</v>
      </c>
      <c r="H16" s="123">
        <v>2</v>
      </c>
      <c r="I16" s="125" t="s">
        <v>37</v>
      </c>
      <c r="J16" s="120">
        <v>11</v>
      </c>
      <c r="L16" s="123">
        <v>3</v>
      </c>
      <c r="M16" s="125" t="s">
        <v>36</v>
      </c>
      <c r="N16" s="120">
        <v>11</v>
      </c>
      <c r="P16" s="123">
        <v>2</v>
      </c>
      <c r="Q16" s="125" t="s">
        <v>36</v>
      </c>
      <c r="R16" s="120">
        <v>11</v>
      </c>
    </row>
    <row r="17" spans="1:18" x14ac:dyDescent="0.3">
      <c r="A17" s="85" t="str">
        <f>'FASE OFENSIVA'!A18</f>
        <v>LÉO ELIAS</v>
      </c>
      <c r="B17" s="94">
        <f>'FASE DEFENSIVA'!AG18</f>
        <v>11</v>
      </c>
      <c r="C17" s="94">
        <f>Índices!T17</f>
        <v>11</v>
      </c>
      <c r="D17" s="94">
        <f>Índices!U17</f>
        <v>11</v>
      </c>
      <c r="H17" s="123">
        <v>2</v>
      </c>
      <c r="I17" s="125" t="s">
        <v>163</v>
      </c>
      <c r="J17" s="120">
        <v>11</v>
      </c>
      <c r="L17" s="123">
        <v>3</v>
      </c>
      <c r="M17" s="125" t="s">
        <v>37</v>
      </c>
      <c r="N17" s="120">
        <v>11</v>
      </c>
      <c r="P17" s="123">
        <v>2</v>
      </c>
      <c r="Q17" s="125" t="s">
        <v>37</v>
      </c>
      <c r="R17" s="120">
        <v>11</v>
      </c>
    </row>
    <row r="18" spans="1:18" x14ac:dyDescent="0.3">
      <c r="A18" s="85" t="str">
        <f>'FASE OFENSIVA'!A19</f>
        <v>LÉO RUDEK</v>
      </c>
      <c r="B18" s="94">
        <f>'FASE DEFENSIVA'!AG19</f>
        <v>11</v>
      </c>
      <c r="C18" s="94">
        <f>Índices!T18</f>
        <v>11</v>
      </c>
      <c r="D18" s="94">
        <f>Índices!U18</f>
        <v>11</v>
      </c>
      <c r="H18" s="123">
        <v>2</v>
      </c>
      <c r="I18" s="125" t="s">
        <v>161</v>
      </c>
      <c r="J18" s="120">
        <v>11</v>
      </c>
      <c r="L18" s="123">
        <v>3</v>
      </c>
      <c r="M18" s="125" t="s">
        <v>163</v>
      </c>
      <c r="N18" s="120">
        <v>11</v>
      </c>
      <c r="P18" s="123">
        <v>2</v>
      </c>
      <c r="Q18" s="125" t="s">
        <v>163</v>
      </c>
      <c r="R18" s="120">
        <v>11</v>
      </c>
    </row>
    <row r="19" spans="1:18" x14ac:dyDescent="0.3">
      <c r="A19" s="85" t="str">
        <f>'FASE OFENSIVA'!A20</f>
        <v>BAISCH</v>
      </c>
      <c r="B19" s="94">
        <f>'FASE DEFENSIVA'!AG20</f>
        <v>11</v>
      </c>
      <c r="C19" s="94">
        <f>Índices!T19</f>
        <v>11</v>
      </c>
      <c r="D19" s="94">
        <f>Índices!U19</f>
        <v>11</v>
      </c>
      <c r="H19" s="123">
        <v>3</v>
      </c>
      <c r="I19" s="125" t="s">
        <v>164</v>
      </c>
      <c r="J19" s="120">
        <v>0</v>
      </c>
      <c r="L19" s="123">
        <v>3</v>
      </c>
      <c r="M19" s="125" t="s">
        <v>161</v>
      </c>
      <c r="N19" s="120">
        <v>11</v>
      </c>
      <c r="P19" s="123">
        <v>2</v>
      </c>
      <c r="Q19" s="125" t="s">
        <v>161</v>
      </c>
      <c r="R19" s="120">
        <v>11</v>
      </c>
    </row>
    <row r="20" spans="1:18" x14ac:dyDescent="0.3">
      <c r="B20" s="96">
        <f t="shared" ref="B20:C20" si="0">AVERAGEIF(B4:B19,"&lt;&gt;"&amp;"#DIV/0!",B4:B19)</f>
        <v>13.791666666666668</v>
      </c>
      <c r="C20" s="96">
        <f t="shared" si="0"/>
        <v>12.354042658730158</v>
      </c>
      <c r="D20" s="96">
        <f>AVERAGEIF(D4:D19,"&lt;&gt;"&amp;"#DIV/0!",D4:D19)</f>
        <v>12.029513888888889</v>
      </c>
    </row>
    <row r="21" spans="1:18" x14ac:dyDescent="0.3">
      <c r="A21" s="100"/>
      <c r="B21" s="89" t="s">
        <v>151</v>
      </c>
      <c r="C21" s="90" t="s">
        <v>22</v>
      </c>
      <c r="D21" s="89" t="s">
        <v>152</v>
      </c>
    </row>
    <row r="22" spans="1:18" x14ac:dyDescent="0.3">
      <c r="A22" s="118" t="str">
        <f>'FASE OFENSIVA'!A5</f>
        <v>MATEUS</v>
      </c>
      <c r="B22" s="119">
        <f>INDEX($H$4:$I$19,MATCH(A4,$I$4:$I$19,0),1)</f>
        <v>1</v>
      </c>
      <c r="C22" s="119">
        <f>INDEX($L$4:$M$19,MATCH(A4,$M$4:$M$19,0),1)</f>
        <v>1</v>
      </c>
      <c r="D22" s="119">
        <f>INDEX($P$4:$Q$19,MATCH(A4,$Q$4:$Q$19,0),1)</f>
        <v>1</v>
      </c>
      <c r="F22" s="96">
        <f>SUM(B22:D22)</f>
        <v>3</v>
      </c>
      <c r="G22" s="96">
        <f>103-F22</f>
        <v>100</v>
      </c>
    </row>
    <row r="23" spans="1:18" x14ac:dyDescent="0.3">
      <c r="A23" s="118" t="str">
        <f>'FASE OFENSIVA'!A6</f>
        <v>RAFINHA</v>
      </c>
      <c r="B23" s="119">
        <f t="shared" ref="B23:B37" si="1">INDEX($H$4:$I$19,MATCH(A5,$I$4:$I$19,0),1)</f>
        <v>2</v>
      </c>
      <c r="C23" s="119">
        <f t="shared" ref="C23:C37" si="2">INDEX($L$4:$M$19,MATCH(A5,$M$4:$M$19,0),1)</f>
        <v>3</v>
      </c>
      <c r="D23" s="119">
        <f t="shared" ref="D23:D37" si="3">INDEX($P$4:$Q$19,MATCH(A5,$Q$4:$Q$19,0),1)</f>
        <v>2</v>
      </c>
      <c r="F23" s="96">
        <f t="shared" ref="F23:F37" si="4">SUM(B23:D23)</f>
        <v>7</v>
      </c>
      <c r="G23" s="96">
        <f t="shared" ref="G23:G37" si="5">103-F23</f>
        <v>96</v>
      </c>
    </row>
    <row r="24" spans="1:18" x14ac:dyDescent="0.3">
      <c r="A24" s="118" t="str">
        <f>'FASE OFENSIVA'!A7</f>
        <v>TARIQ</v>
      </c>
      <c r="B24" s="119">
        <f t="shared" si="1"/>
        <v>2</v>
      </c>
      <c r="C24" s="119">
        <f t="shared" si="2"/>
        <v>3</v>
      </c>
      <c r="D24" s="119">
        <f t="shared" si="3"/>
        <v>2</v>
      </c>
      <c r="F24" s="96">
        <f t="shared" si="4"/>
        <v>7</v>
      </c>
      <c r="G24" s="96">
        <f t="shared" si="5"/>
        <v>96</v>
      </c>
    </row>
    <row r="25" spans="1:18" x14ac:dyDescent="0.3">
      <c r="A25" s="118" t="str">
        <f>'FASE OFENSIVA'!A8</f>
        <v>TETEU</v>
      </c>
      <c r="B25" s="119">
        <f t="shared" si="1"/>
        <v>2</v>
      </c>
      <c r="C25" s="119">
        <f t="shared" si="2"/>
        <v>3</v>
      </c>
      <c r="D25" s="119">
        <f t="shared" si="3"/>
        <v>2</v>
      </c>
      <c r="F25" s="96">
        <f t="shared" si="4"/>
        <v>7</v>
      </c>
      <c r="G25" s="96">
        <f t="shared" si="5"/>
        <v>96</v>
      </c>
    </row>
    <row r="26" spans="1:18" x14ac:dyDescent="0.3">
      <c r="A26" s="118" t="str">
        <f>'FASE OFENSIVA'!A9</f>
        <v>LORENZO</v>
      </c>
      <c r="B26" s="119">
        <f t="shared" si="1"/>
        <v>2</v>
      </c>
      <c r="C26" s="119">
        <f t="shared" si="2"/>
        <v>3</v>
      </c>
      <c r="D26" s="119">
        <f t="shared" si="3"/>
        <v>2</v>
      </c>
      <c r="F26" s="96">
        <f t="shared" si="4"/>
        <v>7</v>
      </c>
      <c r="G26" s="96">
        <f t="shared" si="5"/>
        <v>96</v>
      </c>
    </row>
    <row r="27" spans="1:18" x14ac:dyDescent="0.3">
      <c r="A27" s="118" t="str">
        <f>'FASE OFENSIVA'!A10</f>
        <v>PEPO</v>
      </c>
      <c r="B27" s="119">
        <f t="shared" si="1"/>
        <v>2</v>
      </c>
      <c r="C27" s="119">
        <f t="shared" si="2"/>
        <v>3</v>
      </c>
      <c r="D27" s="119">
        <f t="shared" si="3"/>
        <v>2</v>
      </c>
      <c r="F27" s="96">
        <f t="shared" si="4"/>
        <v>7</v>
      </c>
      <c r="G27" s="96">
        <f t="shared" si="5"/>
        <v>96</v>
      </c>
    </row>
    <row r="28" spans="1:18" x14ac:dyDescent="0.3">
      <c r="A28" s="118" t="str">
        <f>'FASE OFENSIVA'!A11</f>
        <v>ROGÉRIO</v>
      </c>
      <c r="B28" s="119">
        <f t="shared" si="1"/>
        <v>2</v>
      </c>
      <c r="C28" s="119">
        <f t="shared" si="2"/>
        <v>3</v>
      </c>
      <c r="D28" s="119">
        <f t="shared" si="3"/>
        <v>2</v>
      </c>
      <c r="F28" s="96">
        <f t="shared" si="4"/>
        <v>7</v>
      </c>
      <c r="G28" s="96">
        <f t="shared" si="5"/>
        <v>96</v>
      </c>
    </row>
    <row r="29" spans="1:18" x14ac:dyDescent="0.3">
      <c r="A29" s="118" t="str">
        <f>'FASE OFENSIVA'!A12</f>
        <v>LUCAS SENNA</v>
      </c>
      <c r="B29" s="119">
        <f t="shared" si="1"/>
        <v>3</v>
      </c>
      <c r="C29" s="119">
        <f t="shared" si="2"/>
        <v>2</v>
      </c>
      <c r="D29" s="119">
        <f t="shared" si="3"/>
        <v>2</v>
      </c>
      <c r="F29" s="96">
        <f t="shared" si="4"/>
        <v>7</v>
      </c>
      <c r="G29" s="96">
        <f t="shared" si="5"/>
        <v>96</v>
      </c>
    </row>
    <row r="30" spans="1:18" x14ac:dyDescent="0.3">
      <c r="A30" s="118" t="str">
        <f>'FASE OFENSIVA'!A13</f>
        <v>GARCIA</v>
      </c>
      <c r="B30" s="119">
        <f t="shared" si="1"/>
        <v>2</v>
      </c>
      <c r="C30" s="119">
        <f t="shared" si="2"/>
        <v>3</v>
      </c>
      <c r="D30" s="119">
        <f t="shared" si="3"/>
        <v>2</v>
      </c>
      <c r="F30" s="96">
        <f t="shared" si="4"/>
        <v>7</v>
      </c>
      <c r="G30" s="96">
        <f t="shared" si="5"/>
        <v>96</v>
      </c>
    </row>
    <row r="31" spans="1:18" x14ac:dyDescent="0.3">
      <c r="A31" s="118" t="str">
        <f>'FASE OFENSIVA'!A14</f>
        <v>FOGO</v>
      </c>
      <c r="B31" s="119">
        <f t="shared" si="1"/>
        <v>2</v>
      </c>
      <c r="C31" s="119">
        <f t="shared" si="2"/>
        <v>3</v>
      </c>
      <c r="D31" s="119">
        <f t="shared" si="3"/>
        <v>2</v>
      </c>
      <c r="F31" s="96">
        <f t="shared" si="4"/>
        <v>7</v>
      </c>
      <c r="G31" s="96">
        <f t="shared" si="5"/>
        <v>96</v>
      </c>
    </row>
    <row r="32" spans="1:18" x14ac:dyDescent="0.3">
      <c r="A32" s="118" t="str">
        <f>'FASE OFENSIVA'!A15</f>
        <v>TITO</v>
      </c>
      <c r="B32" s="119">
        <f t="shared" si="1"/>
        <v>2</v>
      </c>
      <c r="C32" s="119">
        <f t="shared" si="2"/>
        <v>3</v>
      </c>
      <c r="D32" s="119">
        <f t="shared" si="3"/>
        <v>2</v>
      </c>
      <c r="F32" s="96">
        <f t="shared" si="4"/>
        <v>7</v>
      </c>
      <c r="G32" s="96">
        <f t="shared" si="5"/>
        <v>96</v>
      </c>
    </row>
    <row r="33" spans="1:7" x14ac:dyDescent="0.3">
      <c r="A33" s="118" t="str">
        <f>'FASE OFENSIVA'!A16</f>
        <v>PIETRO</v>
      </c>
      <c r="B33" s="119">
        <f t="shared" si="1"/>
        <v>2</v>
      </c>
      <c r="C33" s="119">
        <f t="shared" si="2"/>
        <v>3</v>
      </c>
      <c r="D33" s="119">
        <f t="shared" si="3"/>
        <v>2</v>
      </c>
      <c r="F33" s="96">
        <f t="shared" si="4"/>
        <v>7</v>
      </c>
      <c r="G33" s="96">
        <f t="shared" si="5"/>
        <v>96</v>
      </c>
    </row>
    <row r="34" spans="1:7" x14ac:dyDescent="0.3">
      <c r="A34" s="118" t="str">
        <f>'FASE OFENSIVA'!A17</f>
        <v>ALYSSON</v>
      </c>
      <c r="B34" s="119">
        <f t="shared" si="1"/>
        <v>2</v>
      </c>
      <c r="C34" s="119">
        <f t="shared" si="2"/>
        <v>3</v>
      </c>
      <c r="D34" s="119">
        <f t="shared" si="3"/>
        <v>2</v>
      </c>
      <c r="F34" s="96">
        <f t="shared" si="4"/>
        <v>7</v>
      </c>
      <c r="G34" s="96">
        <f t="shared" si="5"/>
        <v>96</v>
      </c>
    </row>
    <row r="35" spans="1:7" x14ac:dyDescent="0.3">
      <c r="A35" s="118" t="str">
        <f>'FASE OFENSIVA'!A18</f>
        <v>LÉO ELIAS</v>
      </c>
      <c r="B35" s="119">
        <f t="shared" si="1"/>
        <v>2</v>
      </c>
      <c r="C35" s="119">
        <f t="shared" si="2"/>
        <v>3</v>
      </c>
      <c r="D35" s="119">
        <f t="shared" si="3"/>
        <v>2</v>
      </c>
      <c r="F35" s="96">
        <f t="shared" si="4"/>
        <v>7</v>
      </c>
      <c r="G35" s="96">
        <f t="shared" si="5"/>
        <v>96</v>
      </c>
    </row>
    <row r="36" spans="1:7" x14ac:dyDescent="0.3">
      <c r="A36" s="118" t="str">
        <f>'FASE OFENSIVA'!A19</f>
        <v>LÉO RUDEK</v>
      </c>
      <c r="B36" s="119">
        <f t="shared" si="1"/>
        <v>2</v>
      </c>
      <c r="C36" s="119">
        <f t="shared" si="2"/>
        <v>3</v>
      </c>
      <c r="D36" s="119">
        <f t="shared" si="3"/>
        <v>2</v>
      </c>
      <c r="F36" s="96">
        <f t="shared" si="4"/>
        <v>7</v>
      </c>
      <c r="G36" s="96">
        <f t="shared" si="5"/>
        <v>96</v>
      </c>
    </row>
    <row r="37" spans="1:7" x14ac:dyDescent="0.3">
      <c r="A37" s="118" t="str">
        <f>'FASE OFENSIVA'!A20</f>
        <v>BAISCH</v>
      </c>
      <c r="B37" s="119">
        <f t="shared" si="1"/>
        <v>2</v>
      </c>
      <c r="C37" s="119">
        <f t="shared" si="2"/>
        <v>3</v>
      </c>
      <c r="D37" s="119">
        <f t="shared" si="3"/>
        <v>2</v>
      </c>
      <c r="F37" s="96">
        <f t="shared" si="4"/>
        <v>7</v>
      </c>
      <c r="G37" s="96">
        <f t="shared" si="5"/>
        <v>96</v>
      </c>
    </row>
    <row r="38" spans="1:7" x14ac:dyDescent="0.3">
      <c r="A38" s="100"/>
      <c r="B38" s="52"/>
      <c r="D38" s="52"/>
      <c r="G38" s="96"/>
    </row>
  </sheetData>
  <sortState xmlns:xlrd2="http://schemas.microsoft.com/office/spreadsheetml/2017/richdata2" ref="Q4:R19">
    <sortCondition descending="1" ref="R4:R19"/>
  </sortState>
  <mergeCells count="7">
    <mergeCell ref="B1:D1"/>
    <mergeCell ref="H1:J1"/>
    <mergeCell ref="L1:N1"/>
    <mergeCell ref="P1:R1"/>
    <mergeCell ref="H2:J2"/>
    <mergeCell ref="L2:N2"/>
    <mergeCell ref="P2:R2"/>
  </mergeCells>
  <conditionalFormatting sqref="B4:D19">
    <cfRule type="dataBar" priority="15">
      <dataBar>
        <cfvo type="num" val="0"/>
        <cfvo type="num" val="100"/>
        <color theme="9" tint="0.59999389629810485"/>
      </dataBar>
      <extLst>
        <ext xmlns:x14="http://schemas.microsoft.com/office/spreadsheetml/2009/9/main" uri="{B025F937-C7B1-47D3-B67F-A62EFF666E3E}">
          <x14:id>{DDE1BDEF-880B-49A7-BDE6-DCB33942C8F8}</x14:id>
        </ext>
      </extLst>
    </cfRule>
    <cfRule type="colorScale" priority="16">
      <colorScale>
        <cfvo type="min"/>
        <cfvo type="max"/>
        <color theme="9" tint="0.39997558519241921"/>
        <color theme="9" tint="-0.499984740745262"/>
      </colorScale>
    </cfRule>
  </conditionalFormatting>
  <conditionalFormatting sqref="B22:D3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percentile" val="10"/>
        <cfvo type="num" val="0"/>
        <color rgb="FFFF7128"/>
        <color rgb="FFFFEF9C"/>
      </colorScale>
    </cfRule>
  </conditionalFormatting>
  <conditionalFormatting sqref="G22:G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E1BDEF-880B-49A7-BDE6-DCB33942C8F8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0"/>
              <x14:negativeFillColor rgb="FFFF0000"/>
              <x14:axisColor rgb="FF000000"/>
            </x14:dataBar>
          </x14:cfRule>
          <xm:sqref>B4:D19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08FDC-9351-432E-BEBC-5D5256F0A239}">
  <sheetPr codeName="Planilha9"/>
  <dimension ref="A1:O80"/>
  <sheetViews>
    <sheetView tabSelected="1" zoomScale="70" zoomScaleNormal="70" workbookViewId="0">
      <selection activeCell="C5" sqref="C5"/>
    </sheetView>
  </sheetViews>
  <sheetFormatPr defaultRowHeight="28.2" customHeight="1" x14ac:dyDescent="0.3"/>
  <cols>
    <col min="1" max="1" width="24.109375" style="139" customWidth="1"/>
    <col min="2" max="2" width="15.109375" style="130" customWidth="1"/>
    <col min="3" max="3" width="7.6640625" style="140" customWidth="1"/>
    <col min="4" max="4" width="3" style="130" customWidth="1"/>
    <col min="5" max="5" width="24.109375" style="139" customWidth="1"/>
    <col min="6" max="6" width="15.109375" style="130" customWidth="1"/>
    <col min="7" max="7" width="7.6640625" style="140" customWidth="1"/>
    <col min="8" max="8" width="3" style="130" customWidth="1"/>
    <col min="9" max="9" width="24.109375" style="139" customWidth="1"/>
    <col min="10" max="10" width="15.109375" style="130" customWidth="1"/>
    <col min="11" max="11" width="7.6640625" style="130" customWidth="1"/>
    <col min="12" max="12" width="3" style="130" customWidth="1"/>
    <col min="13" max="13" width="24.109375" style="139" customWidth="1"/>
    <col min="14" max="14" width="15.109375" style="130" customWidth="1"/>
    <col min="15" max="15" width="7.6640625" style="130" customWidth="1"/>
    <col min="16" max="16384" width="8.88671875" style="130"/>
  </cols>
  <sheetData>
    <row r="1" spans="1:15" ht="45.6" x14ac:dyDescent="0.3">
      <c r="A1" s="211" t="s">
        <v>153</v>
      </c>
      <c r="B1" s="211"/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</row>
    <row r="2" spans="1:15" ht="28.2" customHeight="1" x14ac:dyDescent="0.3">
      <c r="A2" s="212" t="str">
        <f>Índices!A4</f>
        <v>MATEUS</v>
      </c>
      <c r="B2" s="212"/>
      <c r="C2" s="212"/>
      <c r="E2" s="212" t="str">
        <f>Índices!A5</f>
        <v>RAFINHA</v>
      </c>
      <c r="F2" s="212"/>
      <c r="G2" s="212"/>
      <c r="I2" s="212" t="str">
        <f>Índices!A6</f>
        <v>TARIQ</v>
      </c>
      <c r="J2" s="212"/>
      <c r="K2" s="212"/>
      <c r="M2" s="212" t="str">
        <f>Índices!A7</f>
        <v>TETEU</v>
      </c>
      <c r="N2" s="212"/>
      <c r="O2" s="212"/>
    </row>
    <row r="3" spans="1:15" ht="28.2" customHeight="1" x14ac:dyDescent="0.3">
      <c r="A3" s="131" t="s">
        <v>159</v>
      </c>
      <c r="B3" s="131" t="s">
        <v>101</v>
      </c>
      <c r="C3" s="131" t="s">
        <v>160</v>
      </c>
      <c r="E3" s="131" t="s">
        <v>159</v>
      </c>
      <c r="F3" s="131" t="s">
        <v>101</v>
      </c>
      <c r="G3" s="131" t="s">
        <v>160</v>
      </c>
      <c r="I3" s="131" t="s">
        <v>159</v>
      </c>
      <c r="J3" s="131" t="s">
        <v>101</v>
      </c>
      <c r="K3" s="131" t="s">
        <v>160</v>
      </c>
      <c r="M3" s="131" t="s">
        <v>159</v>
      </c>
      <c r="N3" s="131" t="s">
        <v>101</v>
      </c>
      <c r="O3" s="131" t="s">
        <v>160</v>
      </c>
    </row>
    <row r="4" spans="1:15" ht="28.2" customHeight="1" x14ac:dyDescent="0.3">
      <c r="A4" s="127" t="s">
        <v>143</v>
      </c>
      <c r="B4" s="132">
        <f>ÍndicesOF!B4</f>
        <v>11</v>
      </c>
      <c r="C4" s="133">
        <f>ÍndicesOF!B22</f>
        <v>1</v>
      </c>
      <c r="E4" s="127" t="s">
        <v>143</v>
      </c>
      <c r="F4" s="132">
        <f>Índices!B5</f>
        <v>11</v>
      </c>
      <c r="G4" s="133">
        <f>ÍndicesOF!B23</f>
        <v>1</v>
      </c>
      <c r="I4" s="127" t="s">
        <v>143</v>
      </c>
      <c r="J4" s="132">
        <f>Índices!B6</f>
        <v>11</v>
      </c>
      <c r="K4" s="133">
        <f>ÍndicesOF!B24</f>
        <v>1</v>
      </c>
      <c r="M4" s="127" t="s">
        <v>143</v>
      </c>
      <c r="N4" s="132">
        <f>Índices!B7</f>
        <v>11</v>
      </c>
      <c r="O4" s="133">
        <f>ÍndicesOF!B25</f>
        <v>1</v>
      </c>
    </row>
    <row r="5" spans="1:15" ht="28.2" customHeight="1" x14ac:dyDescent="0.3">
      <c r="A5" s="127" t="s">
        <v>17</v>
      </c>
      <c r="B5" s="132">
        <f>ÍndicesOF!C4</f>
        <v>11</v>
      </c>
      <c r="C5" s="133">
        <f>ÍndicesOF!C22</f>
        <v>1</v>
      </c>
      <c r="E5" s="127" t="s">
        <v>17</v>
      </c>
      <c r="F5" s="132">
        <f>Índices!C5</f>
        <v>11</v>
      </c>
      <c r="G5" s="133">
        <f>ÍndicesOF!C23</f>
        <v>1</v>
      </c>
      <c r="I5" s="127" t="s">
        <v>17</v>
      </c>
      <c r="J5" s="132">
        <f>Índices!C6</f>
        <v>11</v>
      </c>
      <c r="K5" s="133">
        <f>ÍndicesOF!C24</f>
        <v>1</v>
      </c>
      <c r="M5" s="127" t="s">
        <v>17</v>
      </c>
      <c r="N5" s="132">
        <f>Índices!C7</f>
        <v>11</v>
      </c>
      <c r="O5" s="133">
        <f>ÍndicesOF!C25</f>
        <v>1</v>
      </c>
    </row>
    <row r="6" spans="1:15" ht="28.2" customHeight="1" x14ac:dyDescent="0.3">
      <c r="A6" s="127" t="s">
        <v>144</v>
      </c>
      <c r="B6" s="132">
        <f>ÍndicesOF!D4</f>
        <v>11</v>
      </c>
      <c r="C6" s="133">
        <f>ÍndicesOF!D22</f>
        <v>2</v>
      </c>
      <c r="E6" s="127" t="s">
        <v>144</v>
      </c>
      <c r="F6" s="132">
        <f>Índices!D5</f>
        <v>11</v>
      </c>
      <c r="G6" s="133">
        <f>ÍndicesOF!D23</f>
        <v>2</v>
      </c>
      <c r="I6" s="127" t="s">
        <v>144</v>
      </c>
      <c r="J6" s="132">
        <f>Índices!D6</f>
        <v>11</v>
      </c>
      <c r="K6" s="133">
        <f>ÍndicesOF!D24</f>
        <v>2</v>
      </c>
      <c r="M6" s="127" t="s">
        <v>144</v>
      </c>
      <c r="N6" s="132">
        <f>Índices!D7</f>
        <v>11</v>
      </c>
      <c r="O6" s="133">
        <f>ÍndicesOF!D25</f>
        <v>2</v>
      </c>
    </row>
    <row r="7" spans="1:15" ht="28.2" customHeight="1" x14ac:dyDescent="0.3">
      <c r="A7" s="127" t="s">
        <v>141</v>
      </c>
      <c r="B7" s="132">
        <f>ÍndicesOF!E4</f>
        <v>11</v>
      </c>
      <c r="C7" s="133">
        <f>ÍndicesOF!E22</f>
        <v>1</v>
      </c>
      <c r="E7" s="127" t="s">
        <v>141</v>
      </c>
      <c r="F7" s="132">
        <f>Índices!E5</f>
        <v>11</v>
      </c>
      <c r="G7" s="133">
        <f>ÍndicesOF!E23</f>
        <v>1</v>
      </c>
      <c r="I7" s="127" t="s">
        <v>141</v>
      </c>
      <c r="J7" s="132">
        <f>Índices!E6</f>
        <v>11</v>
      </c>
      <c r="K7" s="133">
        <f>ÍndicesOF!E24</f>
        <v>1</v>
      </c>
      <c r="M7" s="127" t="s">
        <v>141</v>
      </c>
      <c r="N7" s="132">
        <f>Índices!E7</f>
        <v>11</v>
      </c>
      <c r="O7" s="133">
        <f>ÍndicesOF!E25</f>
        <v>1</v>
      </c>
    </row>
    <row r="8" spans="1:15" ht="28.2" customHeight="1" x14ac:dyDescent="0.3">
      <c r="A8" s="127" t="s">
        <v>142</v>
      </c>
      <c r="B8" s="132">
        <f>ÍndicesOF!F4</f>
        <v>11</v>
      </c>
      <c r="C8" s="133">
        <f>ÍndicesOF!F22</f>
        <v>1</v>
      </c>
      <c r="E8" s="127" t="s">
        <v>142</v>
      </c>
      <c r="F8" s="132">
        <f>Índices!F5</f>
        <v>11</v>
      </c>
      <c r="G8" s="133">
        <f>ÍndicesOF!F23</f>
        <v>1</v>
      </c>
      <c r="I8" s="127" t="s">
        <v>142</v>
      </c>
      <c r="J8" s="132">
        <f>Índices!F6</f>
        <v>11</v>
      </c>
      <c r="K8" s="133">
        <f>ÍndicesOF!G24</f>
        <v>1</v>
      </c>
      <c r="M8" s="127" t="s">
        <v>142</v>
      </c>
      <c r="N8" s="132">
        <f>Índices!F7</f>
        <v>11</v>
      </c>
      <c r="O8" s="133">
        <f>ÍndicesOF!F25</f>
        <v>1</v>
      </c>
    </row>
    <row r="9" spans="1:15" ht="28.2" customHeight="1" x14ac:dyDescent="0.3">
      <c r="A9" s="127" t="s">
        <v>149</v>
      </c>
      <c r="B9" s="132">
        <f>ÍndicesOF!G4</f>
        <v>11</v>
      </c>
      <c r="C9" s="133">
        <f>ÍndicesOF!G22</f>
        <v>1</v>
      </c>
      <c r="E9" s="127" t="s">
        <v>149</v>
      </c>
      <c r="F9" s="132">
        <f>Índices!G5</f>
        <v>11</v>
      </c>
      <c r="G9" s="133">
        <f>ÍndicesOF!G23</f>
        <v>1</v>
      </c>
      <c r="I9" s="127" t="s">
        <v>149</v>
      </c>
      <c r="J9" s="132">
        <f>Índices!G6</f>
        <v>11</v>
      </c>
      <c r="K9" s="133">
        <f>ÍndicesOF!G24</f>
        <v>1</v>
      </c>
      <c r="M9" s="127" t="s">
        <v>149</v>
      </c>
      <c r="N9" s="132">
        <f>Índices!G7</f>
        <v>11</v>
      </c>
      <c r="O9" s="133">
        <f>ÍndicesOF!G25</f>
        <v>1</v>
      </c>
    </row>
    <row r="10" spans="1:15" ht="28.2" customHeight="1" x14ac:dyDescent="0.3">
      <c r="A10" s="127" t="s">
        <v>150</v>
      </c>
      <c r="B10" s="132">
        <f>ÍndicesOF!H4</f>
        <v>11</v>
      </c>
      <c r="C10" s="133">
        <f>ÍndicesOF!H22</f>
        <v>1</v>
      </c>
      <c r="E10" s="127" t="s">
        <v>150</v>
      </c>
      <c r="F10" s="132">
        <f>Índices!H5</f>
        <v>11</v>
      </c>
      <c r="G10" s="133">
        <f>ÍndicesOF!H23</f>
        <v>1</v>
      </c>
      <c r="I10" s="127" t="s">
        <v>150</v>
      </c>
      <c r="J10" s="132">
        <f>Índices!H6</f>
        <v>11</v>
      </c>
      <c r="K10" s="133">
        <f>ÍndicesOF!H24</f>
        <v>1</v>
      </c>
      <c r="M10" s="127" t="s">
        <v>150</v>
      </c>
      <c r="N10" s="132">
        <f>Índices!H7</f>
        <v>11</v>
      </c>
      <c r="O10" s="133">
        <f>ÍndicesOF!H25</f>
        <v>1</v>
      </c>
    </row>
    <row r="11" spans="1:15" ht="28.2" customHeight="1" x14ac:dyDescent="0.3">
      <c r="A11" s="128" t="s">
        <v>145</v>
      </c>
      <c r="B11" s="134">
        <f>ÍndicesDEF!B4</f>
        <v>60</v>
      </c>
      <c r="C11" s="135">
        <f>ÍndicesDEF!B22</f>
        <v>1</v>
      </c>
      <c r="E11" s="128" t="s">
        <v>145</v>
      </c>
      <c r="F11" s="134">
        <f>Índices!K5</f>
        <v>11</v>
      </c>
      <c r="G11" s="135">
        <f>ÍndicesDEF!B23</f>
        <v>2</v>
      </c>
      <c r="I11" s="128" t="s">
        <v>145</v>
      </c>
      <c r="J11" s="134">
        <f>Índices!K6</f>
        <v>11</v>
      </c>
      <c r="K11" s="135">
        <f>ÍndicesDEF!B24</f>
        <v>2</v>
      </c>
      <c r="M11" s="128" t="s">
        <v>145</v>
      </c>
      <c r="N11" s="134">
        <f>Índices!K7</f>
        <v>11</v>
      </c>
      <c r="O11" s="135">
        <f>ÍndicesDEF!B25</f>
        <v>2</v>
      </c>
    </row>
    <row r="12" spans="1:15" ht="28.2" customHeight="1" x14ac:dyDescent="0.3">
      <c r="A12" s="128" t="s">
        <v>124</v>
      </c>
      <c r="B12" s="134">
        <f>ÍndicesDEF!C4</f>
        <v>41</v>
      </c>
      <c r="C12" s="135">
        <f>ÍndicesDEF!C22</f>
        <v>1</v>
      </c>
      <c r="E12" s="128" t="s">
        <v>124</v>
      </c>
      <c r="F12" s="134">
        <f>Índices!L5</f>
        <v>11</v>
      </c>
      <c r="G12" s="135">
        <f>ÍndicesDEF!C23</f>
        <v>2</v>
      </c>
      <c r="I12" s="128" t="s">
        <v>124</v>
      </c>
      <c r="J12" s="134">
        <f>Índices!L6</f>
        <v>11</v>
      </c>
      <c r="K12" s="135">
        <f>ÍndicesDEF!C24</f>
        <v>2</v>
      </c>
      <c r="M12" s="128" t="s">
        <v>124</v>
      </c>
      <c r="N12" s="134">
        <f>Índices!L7</f>
        <v>11</v>
      </c>
      <c r="O12" s="135">
        <f>ÍndicesDEF!C25</f>
        <v>2</v>
      </c>
    </row>
    <row r="13" spans="1:15" ht="28.2" customHeight="1" x14ac:dyDescent="0.3">
      <c r="A13" s="128" t="s">
        <v>146</v>
      </c>
      <c r="B13" s="134">
        <f>ÍndicesDEF!D4</f>
        <v>37.166666666666671</v>
      </c>
      <c r="C13" s="135">
        <f>ÍndicesDEF!D22</f>
        <v>1</v>
      </c>
      <c r="E13" s="128" t="s">
        <v>146</v>
      </c>
      <c r="F13" s="134">
        <f>Índices!L5</f>
        <v>11</v>
      </c>
      <c r="G13" s="135">
        <f>ÍndicesDEF!D23</f>
        <v>2</v>
      </c>
      <c r="I13" s="128" t="s">
        <v>146</v>
      </c>
      <c r="J13" s="134">
        <f>Índices!M6</f>
        <v>11</v>
      </c>
      <c r="K13" s="135">
        <f>ÍndicesDEF!D24</f>
        <v>2</v>
      </c>
      <c r="M13" s="128" t="s">
        <v>146</v>
      </c>
      <c r="N13" s="134">
        <f>Índices!M7</f>
        <v>11</v>
      </c>
      <c r="O13" s="135">
        <f>ÍndicesDEF!D25</f>
        <v>2</v>
      </c>
    </row>
    <row r="14" spans="1:15" ht="28.2" customHeight="1" x14ac:dyDescent="0.3">
      <c r="A14" s="128" t="s">
        <v>138</v>
      </c>
      <c r="B14" s="134">
        <f>ÍndicesDEF!E4</f>
        <v>68</v>
      </c>
      <c r="C14" s="135">
        <f>ÍndicesDEF!E22</f>
        <v>1</v>
      </c>
      <c r="E14" s="128" t="s">
        <v>138</v>
      </c>
      <c r="F14" s="134">
        <f>Índices!N5</f>
        <v>11</v>
      </c>
      <c r="G14" s="135">
        <f>ÍndicesDEF!E23</f>
        <v>2</v>
      </c>
      <c r="I14" s="128" t="s">
        <v>138</v>
      </c>
      <c r="J14" s="134">
        <f>Índices!N6</f>
        <v>11</v>
      </c>
      <c r="K14" s="135">
        <f>ÍndicesDEF!E24</f>
        <v>2</v>
      </c>
      <c r="M14" s="128" t="s">
        <v>138</v>
      </c>
      <c r="N14" s="134">
        <f>Índices!N7</f>
        <v>11</v>
      </c>
      <c r="O14" s="135">
        <f>ÍndicesDEF!E25</f>
        <v>2</v>
      </c>
    </row>
    <row r="15" spans="1:15" ht="28.2" customHeight="1" x14ac:dyDescent="0.3">
      <c r="A15" s="128" t="s">
        <v>147</v>
      </c>
      <c r="B15" s="134">
        <f>ÍndicesDEF!F4</f>
        <v>26.666666666666664</v>
      </c>
      <c r="C15" s="135">
        <f>ÍndicesDEF!F22</f>
        <v>1</v>
      </c>
      <c r="E15" s="128" t="s">
        <v>147</v>
      </c>
      <c r="F15" s="134">
        <f>Índices!O5</f>
        <v>11</v>
      </c>
      <c r="G15" s="135">
        <f>ÍndicesDEF!F23</f>
        <v>2</v>
      </c>
      <c r="I15" s="128" t="s">
        <v>147</v>
      </c>
      <c r="J15" s="134">
        <f>Índices!O6</f>
        <v>11</v>
      </c>
      <c r="K15" s="135">
        <f>ÍndicesDEF!F24</f>
        <v>2</v>
      </c>
      <c r="M15" s="128" t="s">
        <v>147</v>
      </c>
      <c r="N15" s="134">
        <f>Índices!O7</f>
        <v>11</v>
      </c>
      <c r="O15" s="135">
        <f>ÍndicesDEF!F25</f>
        <v>2</v>
      </c>
    </row>
    <row r="16" spans="1:15" ht="28.2" customHeight="1" x14ac:dyDescent="0.3">
      <c r="A16" s="128" t="s">
        <v>148</v>
      </c>
      <c r="B16" s="134">
        <f>ÍndicesDEF!G4</f>
        <v>57.142857142857146</v>
      </c>
      <c r="C16" s="135">
        <f>ÍndicesDEF!G22</f>
        <v>1</v>
      </c>
      <c r="E16" s="128" t="s">
        <v>148</v>
      </c>
      <c r="F16" s="134">
        <f>Índices!P5</f>
        <v>11</v>
      </c>
      <c r="G16" s="135">
        <f>ÍndicesDEF!G23</f>
        <v>2</v>
      </c>
      <c r="I16" s="128" t="s">
        <v>148</v>
      </c>
      <c r="J16" s="134">
        <f>Índices!P6</f>
        <v>11</v>
      </c>
      <c r="K16" s="135">
        <f>ÍndicesDEF!G24</f>
        <v>2</v>
      </c>
      <c r="M16" s="128" t="s">
        <v>148</v>
      </c>
      <c r="N16" s="134">
        <f>Índices!P7</f>
        <v>11</v>
      </c>
      <c r="O16" s="135">
        <f>ÍndicesDEF!G25</f>
        <v>2</v>
      </c>
    </row>
    <row r="17" spans="1:15" ht="28.2" customHeight="1" x14ac:dyDescent="0.3">
      <c r="A17" s="129" t="s">
        <v>151</v>
      </c>
      <c r="B17" s="136">
        <f>Índices!S4</f>
        <v>66.666666666666671</v>
      </c>
      <c r="C17" s="137">
        <f>ÍndicesGERAL!B22</f>
        <v>1</v>
      </c>
      <c r="E17" s="129" t="s">
        <v>151</v>
      </c>
      <c r="F17" s="136">
        <f>Índices!S5</f>
        <v>11</v>
      </c>
      <c r="G17" s="137">
        <f>ÍndicesGERAL!B23</f>
        <v>2</v>
      </c>
      <c r="I17" s="129" t="s">
        <v>151</v>
      </c>
      <c r="J17" s="136">
        <f>Índices!S6</f>
        <v>11</v>
      </c>
      <c r="K17" s="137">
        <f>ÍndicesGERAL!B24</f>
        <v>2</v>
      </c>
      <c r="M17" s="129" t="s">
        <v>151</v>
      </c>
      <c r="N17" s="136">
        <f>Índices!S7</f>
        <v>11</v>
      </c>
      <c r="O17" s="137">
        <f>ÍndicesGERAL!B25</f>
        <v>2</v>
      </c>
    </row>
    <row r="18" spans="1:15" ht="28.2" customHeight="1" x14ac:dyDescent="0.3">
      <c r="A18" s="129" t="s">
        <v>22</v>
      </c>
      <c r="B18" s="136">
        <f>Índices!T4</f>
        <v>29.664682539682541</v>
      </c>
      <c r="C18" s="137">
        <f>ÍndicesGERAL!C22</f>
        <v>1</v>
      </c>
      <c r="E18" s="129" t="s">
        <v>22</v>
      </c>
      <c r="F18" s="136">
        <f>Índices!T5</f>
        <v>11</v>
      </c>
      <c r="G18" s="137">
        <f>ÍndicesGERAL!C23</f>
        <v>3</v>
      </c>
      <c r="I18" s="129" t="s">
        <v>22</v>
      </c>
      <c r="J18" s="136">
        <f>Índices!T6</f>
        <v>11</v>
      </c>
      <c r="K18" s="137">
        <f>ÍndicesGERAL!C24</f>
        <v>3</v>
      </c>
      <c r="M18" s="129" t="s">
        <v>22</v>
      </c>
      <c r="N18" s="136">
        <f>Índices!T7</f>
        <v>11</v>
      </c>
      <c r="O18" s="137">
        <f>ÍndicesGERAL!C25</f>
        <v>3</v>
      </c>
    </row>
    <row r="19" spans="1:15" ht="28.2" customHeight="1" x14ac:dyDescent="0.3">
      <c r="A19" s="129" t="s">
        <v>152</v>
      </c>
      <c r="B19" s="136">
        <f>Índices!U4</f>
        <v>27.472222222222225</v>
      </c>
      <c r="C19" s="137">
        <f>ÍndicesGERAL!D22</f>
        <v>1</v>
      </c>
      <c r="E19" s="129" t="s">
        <v>152</v>
      </c>
      <c r="F19" s="136">
        <f>Índices!U5</f>
        <v>11</v>
      </c>
      <c r="G19" s="137">
        <f>ÍndicesGERAL!D23</f>
        <v>2</v>
      </c>
      <c r="I19" s="129" t="s">
        <v>152</v>
      </c>
      <c r="J19" s="136">
        <f>Índices!U6</f>
        <v>11</v>
      </c>
      <c r="K19" s="137">
        <f>ÍndicesGERAL!D24</f>
        <v>2</v>
      </c>
      <c r="M19" s="129" t="s">
        <v>152</v>
      </c>
      <c r="N19" s="136">
        <f>Índices!U7</f>
        <v>11</v>
      </c>
      <c r="O19" s="137">
        <f>ÍndicesGERAL!D25</f>
        <v>2</v>
      </c>
    </row>
    <row r="20" spans="1:15" ht="28.2" customHeight="1" x14ac:dyDescent="0.3">
      <c r="A20" s="141"/>
      <c r="B20" s="142"/>
      <c r="C20" s="143"/>
      <c r="D20" s="142"/>
      <c r="E20" s="141"/>
      <c r="F20" s="142"/>
      <c r="G20" s="143"/>
      <c r="H20" s="142"/>
      <c r="I20" s="141"/>
      <c r="J20" s="142"/>
      <c r="K20" s="142"/>
      <c r="L20" s="142"/>
      <c r="M20" s="141"/>
      <c r="N20" s="142"/>
      <c r="O20" s="142"/>
    </row>
    <row r="21" spans="1:15" ht="45.6" x14ac:dyDescent="0.3">
      <c r="A21" s="211" t="s">
        <v>156</v>
      </c>
      <c r="B21" s="211"/>
      <c r="C21" s="211"/>
      <c r="D21" s="211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</row>
    <row r="22" spans="1:15" ht="28.2" customHeight="1" x14ac:dyDescent="0.3">
      <c r="A22" s="212" t="str">
        <f>Índices!A8</f>
        <v>LORENZO</v>
      </c>
      <c r="B22" s="212"/>
      <c r="C22" s="212"/>
      <c r="E22" s="212" t="str">
        <f>Índices!A9</f>
        <v>PEPO</v>
      </c>
      <c r="F22" s="212"/>
      <c r="G22" s="212"/>
      <c r="I22" s="212" t="str">
        <f>Índices!A10</f>
        <v>ROGÉRIO</v>
      </c>
      <c r="J22" s="212"/>
      <c r="K22" s="212"/>
      <c r="M22" s="212" t="str">
        <f>Índices!A11</f>
        <v>LUCAS SENNA</v>
      </c>
      <c r="N22" s="212"/>
      <c r="O22" s="212"/>
    </row>
    <row r="23" spans="1:15" ht="28.2" customHeight="1" x14ac:dyDescent="0.3">
      <c r="A23" s="131" t="s">
        <v>159</v>
      </c>
      <c r="B23" s="131" t="s">
        <v>101</v>
      </c>
      <c r="C23" s="131" t="s">
        <v>160</v>
      </c>
      <c r="E23" s="131" t="s">
        <v>159</v>
      </c>
      <c r="F23" s="131" t="s">
        <v>101</v>
      </c>
      <c r="G23" s="131" t="s">
        <v>160</v>
      </c>
      <c r="I23" s="131" t="s">
        <v>159</v>
      </c>
      <c r="J23" s="131" t="s">
        <v>101</v>
      </c>
      <c r="K23" s="131" t="s">
        <v>160</v>
      </c>
      <c r="M23" s="131" t="s">
        <v>159</v>
      </c>
      <c r="N23" s="131" t="s">
        <v>101</v>
      </c>
      <c r="O23" s="131" t="s">
        <v>160</v>
      </c>
    </row>
    <row r="24" spans="1:15" ht="28.2" customHeight="1" x14ac:dyDescent="0.3">
      <c r="A24" s="127" t="s">
        <v>143</v>
      </c>
      <c r="B24" s="132">
        <f>Índices!B8</f>
        <v>11</v>
      </c>
      <c r="C24" s="133">
        <f>ÍndicesOF!B26</f>
        <v>1</v>
      </c>
      <c r="D24" s="138"/>
      <c r="E24" s="127" t="s">
        <v>143</v>
      </c>
      <c r="F24" s="132">
        <f>Índices!B9</f>
        <v>11</v>
      </c>
      <c r="G24" s="133">
        <f>ÍndicesOF!B27</f>
        <v>1</v>
      </c>
      <c r="I24" s="127" t="s">
        <v>143</v>
      </c>
      <c r="J24" s="132">
        <f>Índices!B10</f>
        <v>11</v>
      </c>
      <c r="K24" s="133">
        <f>ÍndicesOF!B28</f>
        <v>1</v>
      </c>
      <c r="M24" s="127" t="s">
        <v>143</v>
      </c>
      <c r="N24" s="132">
        <f>Índices!B11</f>
        <v>0</v>
      </c>
      <c r="O24" s="133">
        <f>ÍndicesOF!B29</f>
        <v>2</v>
      </c>
    </row>
    <row r="25" spans="1:15" ht="28.2" customHeight="1" x14ac:dyDescent="0.3">
      <c r="A25" s="127" t="s">
        <v>17</v>
      </c>
      <c r="B25" s="132">
        <f>Índices!C8</f>
        <v>11</v>
      </c>
      <c r="C25" s="133">
        <f>ÍndicesOF!C26</f>
        <v>1</v>
      </c>
      <c r="D25" s="138"/>
      <c r="E25" s="127" t="s">
        <v>17</v>
      </c>
      <c r="F25" s="132">
        <f>Índices!C9</f>
        <v>11</v>
      </c>
      <c r="G25" s="133">
        <f>ÍndicesOF!C27</f>
        <v>1</v>
      </c>
      <c r="I25" s="127" t="s">
        <v>17</v>
      </c>
      <c r="J25" s="132">
        <f>Índices!C10</f>
        <v>11</v>
      </c>
      <c r="K25" s="133">
        <f>ÍndicesOF!C28</f>
        <v>1</v>
      </c>
      <c r="M25" s="127" t="s">
        <v>17</v>
      </c>
      <c r="N25" s="132">
        <f>Índices!C11</f>
        <v>0</v>
      </c>
      <c r="O25" s="133">
        <f>ÍndicesOF!C29</f>
        <v>2</v>
      </c>
    </row>
    <row r="26" spans="1:15" ht="28.2" customHeight="1" x14ac:dyDescent="0.3">
      <c r="A26" s="127" t="s">
        <v>144</v>
      </c>
      <c r="B26" s="132">
        <f>Índices!D8</f>
        <v>11</v>
      </c>
      <c r="C26" s="133">
        <f>ÍndicesOF!D26</f>
        <v>2</v>
      </c>
      <c r="D26" s="138"/>
      <c r="E26" s="127" t="s">
        <v>144</v>
      </c>
      <c r="F26" s="132">
        <f>Índices!D9</f>
        <v>11</v>
      </c>
      <c r="G26" s="133">
        <f>ÍndicesOF!D27</f>
        <v>2</v>
      </c>
      <c r="I26" s="127" t="s">
        <v>144</v>
      </c>
      <c r="J26" s="132">
        <f>Índices!D10</f>
        <v>11</v>
      </c>
      <c r="K26" s="133">
        <f>ÍndicesOF!D28</f>
        <v>2</v>
      </c>
      <c r="M26" s="127" t="s">
        <v>144</v>
      </c>
      <c r="N26" s="132">
        <f>Índices!D11</f>
        <v>75</v>
      </c>
      <c r="O26" s="133">
        <f>ÍndicesOF!D29</f>
        <v>1</v>
      </c>
    </row>
    <row r="27" spans="1:15" ht="28.2" customHeight="1" x14ac:dyDescent="0.3">
      <c r="A27" s="127" t="s">
        <v>141</v>
      </c>
      <c r="B27" s="132">
        <f>Índices!E8</f>
        <v>11</v>
      </c>
      <c r="C27" s="133">
        <f>ÍndicesOF!E26</f>
        <v>1</v>
      </c>
      <c r="D27" s="138"/>
      <c r="E27" s="127" t="s">
        <v>141</v>
      </c>
      <c r="F27" s="132">
        <f>Índices!E9</f>
        <v>11</v>
      </c>
      <c r="G27" s="133">
        <f>ÍndicesOF!E27</f>
        <v>1</v>
      </c>
      <c r="I27" s="127" t="s">
        <v>141</v>
      </c>
      <c r="J27" s="132">
        <f>Índices!E10</f>
        <v>11</v>
      </c>
      <c r="K27" s="133">
        <f>ÍndicesOF!E28</f>
        <v>1</v>
      </c>
      <c r="M27" s="127" t="s">
        <v>141</v>
      </c>
      <c r="N27" s="132">
        <f>Índices!E11</f>
        <v>11</v>
      </c>
      <c r="O27" s="133">
        <f>ÍndicesOF!E29</f>
        <v>1</v>
      </c>
    </row>
    <row r="28" spans="1:15" ht="28.2" customHeight="1" x14ac:dyDescent="0.3">
      <c r="A28" s="127" t="s">
        <v>142</v>
      </c>
      <c r="B28" s="132">
        <f>Índices!F8</f>
        <v>11</v>
      </c>
      <c r="C28" s="133">
        <f>ÍndicesOF!F26</f>
        <v>1</v>
      </c>
      <c r="D28" s="138"/>
      <c r="E28" s="127" t="s">
        <v>142</v>
      </c>
      <c r="F28" s="132">
        <f>Índices!F9</f>
        <v>11</v>
      </c>
      <c r="G28" s="133">
        <f>ÍndicesOF!F27</f>
        <v>1</v>
      </c>
      <c r="I28" s="127" t="s">
        <v>142</v>
      </c>
      <c r="J28" s="132">
        <f>Índices!F10</f>
        <v>11</v>
      </c>
      <c r="K28" s="133">
        <f>ÍndicesOF!F28</f>
        <v>1</v>
      </c>
      <c r="M28" s="127" t="s">
        <v>142</v>
      </c>
      <c r="N28" s="132">
        <f>Índices!F11</f>
        <v>11</v>
      </c>
      <c r="O28" s="133">
        <f>ÍndicesOF!F29</f>
        <v>1</v>
      </c>
    </row>
    <row r="29" spans="1:15" ht="28.2" customHeight="1" x14ac:dyDescent="0.3">
      <c r="A29" s="127" t="s">
        <v>149</v>
      </c>
      <c r="B29" s="132">
        <f>Índices!G8</f>
        <v>11</v>
      </c>
      <c r="C29" s="133">
        <f>ÍndicesOF!G26</f>
        <v>1</v>
      </c>
      <c r="D29" s="138"/>
      <c r="E29" s="127" t="s">
        <v>149</v>
      </c>
      <c r="F29" s="132">
        <f>Índices!G9</f>
        <v>11</v>
      </c>
      <c r="G29" s="133">
        <f>ÍndicesOF!G27</f>
        <v>1</v>
      </c>
      <c r="I29" s="127" t="s">
        <v>149</v>
      </c>
      <c r="J29" s="132">
        <f>Índices!G10</f>
        <v>11</v>
      </c>
      <c r="K29" s="133">
        <f>ÍndicesOF!G28</f>
        <v>1</v>
      </c>
      <c r="M29" s="127" t="s">
        <v>149</v>
      </c>
      <c r="N29" s="132">
        <f>Índices!G11</f>
        <v>11</v>
      </c>
      <c r="O29" s="133">
        <f>ÍndicesOF!G29</f>
        <v>1</v>
      </c>
    </row>
    <row r="30" spans="1:15" ht="28.2" customHeight="1" x14ac:dyDescent="0.3">
      <c r="A30" s="127" t="s">
        <v>150</v>
      </c>
      <c r="B30" s="132">
        <f>Índices!H8</f>
        <v>11</v>
      </c>
      <c r="C30" s="133">
        <f>ÍndicesOF!H26</f>
        <v>1</v>
      </c>
      <c r="D30" s="138"/>
      <c r="E30" s="127" t="s">
        <v>150</v>
      </c>
      <c r="F30" s="132">
        <f>Índices!H9</f>
        <v>11</v>
      </c>
      <c r="G30" s="133">
        <f>ÍndicesDEF!G27</f>
        <v>2</v>
      </c>
      <c r="I30" s="127" t="s">
        <v>150</v>
      </c>
      <c r="J30" s="132">
        <f>Índices!H10</f>
        <v>11</v>
      </c>
      <c r="K30" s="133">
        <f>ÍndicesOF!H28</f>
        <v>1</v>
      </c>
      <c r="M30" s="127" t="s">
        <v>150</v>
      </c>
      <c r="N30" s="132">
        <f>Índices!H11</f>
        <v>11</v>
      </c>
      <c r="O30" s="133">
        <f>ÍndicesOF!H29</f>
        <v>1</v>
      </c>
    </row>
    <row r="31" spans="1:15" ht="28.2" customHeight="1" x14ac:dyDescent="0.3">
      <c r="A31" s="128" t="s">
        <v>145</v>
      </c>
      <c r="B31" s="134">
        <f>Índices!K8</f>
        <v>11</v>
      </c>
      <c r="C31" s="135">
        <f>ÍndicesDEF!B26</f>
        <v>2</v>
      </c>
      <c r="D31" s="138"/>
      <c r="E31" s="128" t="s">
        <v>145</v>
      </c>
      <c r="F31" s="134">
        <f>Índices!K9</f>
        <v>11</v>
      </c>
      <c r="G31" s="135">
        <f>ÍndicesDEF!B27</f>
        <v>2</v>
      </c>
      <c r="I31" s="128" t="s">
        <v>145</v>
      </c>
      <c r="J31" s="134">
        <f>Índices!K10</f>
        <v>11</v>
      </c>
      <c r="K31" s="135">
        <f>ÍndicesDEF!B28</f>
        <v>2</v>
      </c>
      <c r="M31" s="128" t="s">
        <v>145</v>
      </c>
      <c r="N31" s="134">
        <f>Índices!K11</f>
        <v>11</v>
      </c>
      <c r="O31" s="135">
        <f>ÍndicesDEF!B29</f>
        <v>2</v>
      </c>
    </row>
    <row r="32" spans="1:15" ht="28.2" customHeight="1" x14ac:dyDescent="0.3">
      <c r="A32" s="128" t="s">
        <v>124</v>
      </c>
      <c r="B32" s="134">
        <f>Índices!L8</f>
        <v>11</v>
      </c>
      <c r="C32" s="135">
        <f>ÍndicesDEF!C26</f>
        <v>2</v>
      </c>
      <c r="D32" s="138"/>
      <c r="E32" s="128" t="s">
        <v>124</v>
      </c>
      <c r="F32" s="134">
        <f>Índices!L9</f>
        <v>11</v>
      </c>
      <c r="G32" s="135">
        <f>ÍndicesDEF!C27</f>
        <v>2</v>
      </c>
      <c r="I32" s="128" t="s">
        <v>124</v>
      </c>
      <c r="J32" s="134">
        <f>Índices!L10</f>
        <v>11</v>
      </c>
      <c r="K32" s="135">
        <f>ÍndicesDEF!C28</f>
        <v>2</v>
      </c>
      <c r="M32" s="128" t="s">
        <v>124</v>
      </c>
      <c r="N32" s="134">
        <f>Índices!L11</f>
        <v>11</v>
      </c>
      <c r="O32" s="135">
        <f>ÍndicesDEF!C29</f>
        <v>2</v>
      </c>
    </row>
    <row r="33" spans="1:15" ht="28.2" customHeight="1" x14ac:dyDescent="0.3">
      <c r="A33" s="128" t="s">
        <v>146</v>
      </c>
      <c r="B33" s="134">
        <f>Índices!M8</f>
        <v>11</v>
      </c>
      <c r="C33" s="135">
        <f>ÍndicesDEF!D26</f>
        <v>2</v>
      </c>
      <c r="D33" s="138"/>
      <c r="E33" s="128" t="s">
        <v>146</v>
      </c>
      <c r="F33" s="134">
        <f>Índices!M9</f>
        <v>11</v>
      </c>
      <c r="G33" s="135">
        <f>ÍndicesDEF!D27</f>
        <v>2</v>
      </c>
      <c r="I33" s="128" t="s">
        <v>146</v>
      </c>
      <c r="J33" s="134">
        <f>Índices!M10</f>
        <v>11</v>
      </c>
      <c r="K33" s="135">
        <f>ÍndicesDEF!D28</f>
        <v>2</v>
      </c>
      <c r="M33" s="128" t="s">
        <v>146</v>
      </c>
      <c r="N33" s="134">
        <f>Índices!M11</f>
        <v>11</v>
      </c>
      <c r="O33" s="135">
        <f>ÍndicesDEF!D29</f>
        <v>2</v>
      </c>
    </row>
    <row r="34" spans="1:15" ht="28.2" customHeight="1" x14ac:dyDescent="0.3">
      <c r="A34" s="128" t="s">
        <v>138</v>
      </c>
      <c r="B34" s="134">
        <f>Índices!N8</f>
        <v>11</v>
      </c>
      <c r="C34" s="135">
        <f>ÍndicesDEF!E26</f>
        <v>2</v>
      </c>
      <c r="D34" s="138"/>
      <c r="E34" s="128" t="s">
        <v>138</v>
      </c>
      <c r="F34" s="134">
        <f>Índices!N9</f>
        <v>11</v>
      </c>
      <c r="G34" s="135">
        <f>ÍndicesDEF!E27</f>
        <v>2</v>
      </c>
      <c r="I34" s="128" t="s">
        <v>138</v>
      </c>
      <c r="J34" s="134">
        <f>Índices!N10</f>
        <v>11</v>
      </c>
      <c r="K34" s="135">
        <f>ÍndicesDEF!E28</f>
        <v>2</v>
      </c>
      <c r="M34" s="128" t="s">
        <v>138</v>
      </c>
      <c r="N34" s="134">
        <f>Índices!N11</f>
        <v>11</v>
      </c>
      <c r="O34" s="135">
        <f>ÍndicesDEF!E29</f>
        <v>2</v>
      </c>
    </row>
    <row r="35" spans="1:15" ht="28.2" customHeight="1" x14ac:dyDescent="0.3">
      <c r="A35" s="128" t="s">
        <v>147</v>
      </c>
      <c r="B35" s="134">
        <f>Índices!O8</f>
        <v>11</v>
      </c>
      <c r="C35" s="135">
        <f>ÍndicesDEF!F26</f>
        <v>2</v>
      </c>
      <c r="D35" s="138"/>
      <c r="E35" s="128" t="s">
        <v>147</v>
      </c>
      <c r="F35" s="134">
        <f>Índices!O9</f>
        <v>11</v>
      </c>
      <c r="G35" s="135">
        <f>ÍndicesDEF!F27</f>
        <v>2</v>
      </c>
      <c r="I35" s="128" t="s">
        <v>147</v>
      </c>
      <c r="J35" s="134">
        <f>Índices!O10</f>
        <v>11</v>
      </c>
      <c r="K35" s="135">
        <f>ÍndicesDEF!F28</f>
        <v>2</v>
      </c>
      <c r="M35" s="128" t="s">
        <v>147</v>
      </c>
      <c r="N35" s="134">
        <f>Índices!O11</f>
        <v>11</v>
      </c>
      <c r="O35" s="135">
        <f>ÍndicesDEF!F29</f>
        <v>2</v>
      </c>
    </row>
    <row r="36" spans="1:15" ht="28.2" customHeight="1" x14ac:dyDescent="0.3">
      <c r="A36" s="128" t="s">
        <v>148</v>
      </c>
      <c r="B36" s="134">
        <f>Índices!P8</f>
        <v>11</v>
      </c>
      <c r="C36" s="135">
        <f>ÍndicesDEF!G26</f>
        <v>2</v>
      </c>
      <c r="D36" s="138"/>
      <c r="E36" s="128" t="s">
        <v>148</v>
      </c>
      <c r="F36" s="134">
        <f>Índices!P9</f>
        <v>11</v>
      </c>
      <c r="G36" s="135">
        <f>ÍndicesDEF!G27</f>
        <v>2</v>
      </c>
      <c r="I36" s="128" t="s">
        <v>148</v>
      </c>
      <c r="J36" s="134">
        <f>Índices!P10</f>
        <v>11</v>
      </c>
      <c r="K36" s="135">
        <f>ÍndicesDEF!G28</f>
        <v>2</v>
      </c>
      <c r="M36" s="128" t="s">
        <v>148</v>
      </c>
      <c r="N36" s="134">
        <f>Índices!P11</f>
        <v>11</v>
      </c>
      <c r="O36" s="135">
        <f>ÍndicesDEF!G29</f>
        <v>2</v>
      </c>
    </row>
    <row r="37" spans="1:15" ht="28.2" customHeight="1" x14ac:dyDescent="0.3">
      <c r="A37" s="129" t="s">
        <v>151</v>
      </c>
      <c r="B37" s="136">
        <f>Índices!S8</f>
        <v>11</v>
      </c>
      <c r="C37" s="137">
        <f>ÍndicesGERAL!B26</f>
        <v>2</v>
      </c>
      <c r="D37" s="138"/>
      <c r="E37" s="129" t="s">
        <v>151</v>
      </c>
      <c r="F37" s="136">
        <f>Índices!S9</f>
        <v>11</v>
      </c>
      <c r="G37" s="137">
        <f>ÍndicesGERAL!B27</f>
        <v>2</v>
      </c>
      <c r="I37" s="129" t="s">
        <v>151</v>
      </c>
      <c r="J37" s="136">
        <f>Índices!S10</f>
        <v>11</v>
      </c>
      <c r="K37" s="137">
        <f>ÍndicesGERAL!B28</f>
        <v>2</v>
      </c>
      <c r="M37" s="129" t="s">
        <v>151</v>
      </c>
      <c r="N37" s="136">
        <f>Índices!S11</f>
        <v>0</v>
      </c>
      <c r="O37" s="137">
        <f>ÍndicesGERAL!B29</f>
        <v>3</v>
      </c>
    </row>
    <row r="38" spans="1:15" ht="28.2" customHeight="1" x14ac:dyDescent="0.3">
      <c r="A38" s="129" t="s">
        <v>22</v>
      </c>
      <c r="B38" s="136">
        <f>Índices!T8</f>
        <v>11</v>
      </c>
      <c r="C38" s="137">
        <f>ÍndicesGERAL!C26</f>
        <v>3</v>
      </c>
      <c r="D38" s="138"/>
      <c r="E38" s="129" t="s">
        <v>22</v>
      </c>
      <c r="F38" s="136">
        <f>Índices!T9</f>
        <v>11</v>
      </c>
      <c r="G38" s="137">
        <f>ÍndicesGERAL!C27</f>
        <v>3</v>
      </c>
      <c r="I38" s="129" t="s">
        <v>22</v>
      </c>
      <c r="J38" s="136">
        <f>Índices!T10</f>
        <v>11</v>
      </c>
      <c r="K38" s="137">
        <f>ÍndicesGERAL!C28</f>
        <v>3</v>
      </c>
      <c r="M38" s="129" t="s">
        <v>22</v>
      </c>
      <c r="N38" s="136">
        <f>Índices!T11</f>
        <v>14</v>
      </c>
      <c r="O38" s="137">
        <f>ÍndicesGERAL!C29</f>
        <v>2</v>
      </c>
    </row>
    <row r="39" spans="1:15" ht="28.2" customHeight="1" x14ac:dyDescent="0.3">
      <c r="A39" s="129" t="s">
        <v>152</v>
      </c>
      <c r="B39" s="136">
        <f>Índices!U8</f>
        <v>11</v>
      </c>
      <c r="C39" s="137">
        <f>ÍndicesGERAL!D26</f>
        <v>2</v>
      </c>
      <c r="D39" s="138"/>
      <c r="E39" s="129" t="s">
        <v>152</v>
      </c>
      <c r="F39" s="136">
        <f>Índices!U9</f>
        <v>11</v>
      </c>
      <c r="G39" s="137">
        <f>ÍndicesGERAL!D27</f>
        <v>2</v>
      </c>
      <c r="I39" s="129" t="s">
        <v>152</v>
      </c>
      <c r="J39" s="136">
        <f>Índices!U10</f>
        <v>11</v>
      </c>
      <c r="K39" s="137">
        <f>ÍndicesGERAL!D28</f>
        <v>2</v>
      </c>
      <c r="M39" s="129" t="s">
        <v>152</v>
      </c>
      <c r="N39" s="136">
        <f>Índices!U11</f>
        <v>11</v>
      </c>
      <c r="O39" s="137">
        <f>ÍndicesGERAL!D29</f>
        <v>2</v>
      </c>
    </row>
    <row r="40" spans="1:15" ht="28.2" customHeight="1" x14ac:dyDescent="0.3">
      <c r="A40" s="141"/>
      <c r="B40" s="142"/>
      <c r="C40" s="143"/>
      <c r="D40" s="142"/>
      <c r="E40" s="141"/>
      <c r="F40" s="142"/>
      <c r="G40" s="143"/>
      <c r="H40" s="142"/>
      <c r="I40" s="141"/>
      <c r="J40" s="142"/>
      <c r="K40" s="142"/>
      <c r="L40" s="142"/>
      <c r="M40" s="141"/>
      <c r="N40" s="142"/>
      <c r="O40" s="142"/>
    </row>
    <row r="41" spans="1:15" ht="45.6" x14ac:dyDescent="0.3">
      <c r="A41" s="211" t="s">
        <v>154</v>
      </c>
      <c r="B41" s="211"/>
      <c r="C41" s="211"/>
      <c r="D41" s="211"/>
      <c r="E41" s="211"/>
      <c r="F41" s="211"/>
      <c r="G41" s="211"/>
      <c r="H41" s="211"/>
      <c r="I41" s="211"/>
      <c r="J41" s="211"/>
      <c r="K41" s="211"/>
      <c r="L41" s="211"/>
      <c r="M41" s="211"/>
      <c r="N41" s="211"/>
      <c r="O41" s="211"/>
    </row>
    <row r="42" spans="1:15" ht="28.2" customHeight="1" x14ac:dyDescent="0.3">
      <c r="A42" s="212" t="str">
        <f>Índices!A12</f>
        <v>GARCIA</v>
      </c>
      <c r="B42" s="212"/>
      <c r="C42" s="212"/>
      <c r="E42" s="212" t="str">
        <f>Índices!A13</f>
        <v>FOGO</v>
      </c>
      <c r="F42" s="212"/>
      <c r="G42" s="212"/>
      <c r="I42" s="212" t="str">
        <f>Índices!A14</f>
        <v>TITO</v>
      </c>
      <c r="J42" s="212"/>
      <c r="K42" s="212"/>
      <c r="M42" s="212" t="str">
        <f>Índices!A15</f>
        <v>PIETRO</v>
      </c>
      <c r="N42" s="212"/>
      <c r="O42" s="212"/>
    </row>
    <row r="43" spans="1:15" ht="28.2" customHeight="1" x14ac:dyDescent="0.3">
      <c r="A43" s="131" t="s">
        <v>159</v>
      </c>
      <c r="B43" s="131" t="s">
        <v>101</v>
      </c>
      <c r="C43" s="131" t="s">
        <v>160</v>
      </c>
      <c r="E43" s="131" t="s">
        <v>159</v>
      </c>
      <c r="F43" s="131" t="s">
        <v>101</v>
      </c>
      <c r="G43" s="131" t="s">
        <v>160</v>
      </c>
      <c r="I43" s="131" t="s">
        <v>159</v>
      </c>
      <c r="J43" s="131" t="s">
        <v>101</v>
      </c>
      <c r="K43" s="131" t="s">
        <v>160</v>
      </c>
      <c r="M43" s="131" t="s">
        <v>159</v>
      </c>
      <c r="N43" s="131" t="s">
        <v>101</v>
      </c>
      <c r="O43" s="131" t="s">
        <v>160</v>
      </c>
    </row>
    <row r="44" spans="1:15" ht="28.2" customHeight="1" x14ac:dyDescent="0.3">
      <c r="A44" s="127" t="s">
        <v>143</v>
      </c>
      <c r="B44" s="132">
        <f>Índices!B12</f>
        <v>11</v>
      </c>
      <c r="C44" s="133">
        <f>ÍndicesOF!B30</f>
        <v>1</v>
      </c>
      <c r="E44" s="127" t="s">
        <v>143</v>
      </c>
      <c r="F44" s="132">
        <f>Índices!B13</f>
        <v>11</v>
      </c>
      <c r="G44" s="133">
        <f>ÍndicesOF!B31</f>
        <v>1</v>
      </c>
      <c r="I44" s="127" t="s">
        <v>143</v>
      </c>
      <c r="J44" s="132">
        <f>Índices!B14</f>
        <v>11</v>
      </c>
      <c r="K44" s="133">
        <f>ÍndicesOF!B32</f>
        <v>1</v>
      </c>
      <c r="M44" s="127" t="s">
        <v>143</v>
      </c>
      <c r="N44" s="132">
        <f>Índices!B15</f>
        <v>11</v>
      </c>
      <c r="O44" s="133">
        <f>ÍndicesOF!B33</f>
        <v>1</v>
      </c>
    </row>
    <row r="45" spans="1:15" ht="28.2" customHeight="1" x14ac:dyDescent="0.3">
      <c r="A45" s="127" t="s">
        <v>17</v>
      </c>
      <c r="B45" s="132">
        <f>Índices!C12</f>
        <v>11</v>
      </c>
      <c r="C45" s="133">
        <f>ÍndicesOF!C30</f>
        <v>1</v>
      </c>
      <c r="E45" s="127" t="s">
        <v>17</v>
      </c>
      <c r="F45" s="132">
        <f>Índices!C13</f>
        <v>11</v>
      </c>
      <c r="G45" s="133">
        <f>ÍndicesOF!C31</f>
        <v>1</v>
      </c>
      <c r="I45" s="127" t="s">
        <v>17</v>
      </c>
      <c r="J45" s="132">
        <f>Índices!C14</f>
        <v>11</v>
      </c>
      <c r="K45" s="133">
        <f>ÍndicesOF!C32</f>
        <v>1</v>
      </c>
      <c r="M45" s="127" t="s">
        <v>17</v>
      </c>
      <c r="N45" s="132">
        <f>Índices!C15</f>
        <v>11</v>
      </c>
      <c r="O45" s="133">
        <f>ÍndicesOF!C33</f>
        <v>1</v>
      </c>
    </row>
    <row r="46" spans="1:15" ht="28.2" customHeight="1" x14ac:dyDescent="0.3">
      <c r="A46" s="127" t="s">
        <v>144</v>
      </c>
      <c r="B46" s="132">
        <f>Índices!D12</f>
        <v>11</v>
      </c>
      <c r="C46" s="133">
        <f>ÍndicesOF!D30</f>
        <v>2</v>
      </c>
      <c r="E46" s="127" t="s">
        <v>144</v>
      </c>
      <c r="F46" s="132">
        <f>Índices!D13</f>
        <v>11</v>
      </c>
      <c r="G46" s="133">
        <f>ÍndicesOF!D31</f>
        <v>2</v>
      </c>
      <c r="I46" s="127" t="s">
        <v>144</v>
      </c>
      <c r="J46" s="132">
        <f>Índices!D14</f>
        <v>11</v>
      </c>
      <c r="K46" s="133">
        <f>ÍndicesOF!D32</f>
        <v>2</v>
      </c>
      <c r="M46" s="127" t="s">
        <v>144</v>
      </c>
      <c r="N46" s="132">
        <f>Índices!D15</f>
        <v>11</v>
      </c>
      <c r="O46" s="133">
        <f>ÍndicesOF!D33</f>
        <v>2</v>
      </c>
    </row>
    <row r="47" spans="1:15" ht="28.2" customHeight="1" x14ac:dyDescent="0.3">
      <c r="A47" s="127" t="s">
        <v>141</v>
      </c>
      <c r="B47" s="132">
        <f>Índices!E12</f>
        <v>11</v>
      </c>
      <c r="C47" s="133">
        <f>ÍndicesOF!E30</f>
        <v>1</v>
      </c>
      <c r="E47" s="127" t="s">
        <v>141</v>
      </c>
      <c r="F47" s="132">
        <f>Índices!E13</f>
        <v>11</v>
      </c>
      <c r="G47" s="133">
        <f>ÍndicesOF!E31</f>
        <v>1</v>
      </c>
      <c r="I47" s="127" t="s">
        <v>141</v>
      </c>
      <c r="J47" s="132">
        <f>Índices!E14</f>
        <v>11</v>
      </c>
      <c r="K47" s="133">
        <f>ÍndicesOF!E32</f>
        <v>1</v>
      </c>
      <c r="M47" s="127" t="s">
        <v>141</v>
      </c>
      <c r="N47" s="132">
        <f>Índices!E15</f>
        <v>11</v>
      </c>
      <c r="O47" s="133">
        <f>ÍndicesOF!E33</f>
        <v>1</v>
      </c>
    </row>
    <row r="48" spans="1:15" ht="28.2" customHeight="1" x14ac:dyDescent="0.3">
      <c r="A48" s="127" t="s">
        <v>142</v>
      </c>
      <c r="B48" s="132">
        <f>Índices!F12</f>
        <v>11</v>
      </c>
      <c r="C48" s="133">
        <f>ÍndicesOF!F30</f>
        <v>1</v>
      </c>
      <c r="E48" s="127" t="s">
        <v>142</v>
      </c>
      <c r="F48" s="132">
        <f>Índices!F13</f>
        <v>11</v>
      </c>
      <c r="G48" s="133">
        <f>ÍndicesOF!F31</f>
        <v>1</v>
      </c>
      <c r="I48" s="127" t="s">
        <v>142</v>
      </c>
      <c r="J48" s="132">
        <f>Índices!F14</f>
        <v>11</v>
      </c>
      <c r="K48" s="133">
        <f>ÍndicesOF!F32</f>
        <v>1</v>
      </c>
      <c r="M48" s="127" t="s">
        <v>142</v>
      </c>
      <c r="N48" s="132">
        <f>Índices!F15</f>
        <v>11</v>
      </c>
      <c r="O48" s="133">
        <f>ÍndicesOF!F33</f>
        <v>1</v>
      </c>
    </row>
    <row r="49" spans="1:15" ht="28.2" customHeight="1" x14ac:dyDescent="0.3">
      <c r="A49" s="127" t="s">
        <v>149</v>
      </c>
      <c r="B49" s="132">
        <f>Índices!G12</f>
        <v>11</v>
      </c>
      <c r="C49" s="133">
        <f>ÍndicesOF!G30</f>
        <v>1</v>
      </c>
      <c r="E49" s="127" t="s">
        <v>149</v>
      </c>
      <c r="F49" s="132">
        <f>Índices!G13</f>
        <v>11</v>
      </c>
      <c r="G49" s="133">
        <f>ÍndicesOF!G31</f>
        <v>1</v>
      </c>
      <c r="I49" s="127" t="s">
        <v>149</v>
      </c>
      <c r="J49" s="132">
        <f>Índices!G14</f>
        <v>11</v>
      </c>
      <c r="K49" s="133">
        <f>ÍndicesOF!G32</f>
        <v>1</v>
      </c>
      <c r="M49" s="127" t="s">
        <v>149</v>
      </c>
      <c r="N49" s="132">
        <f>Índices!G15</f>
        <v>11</v>
      </c>
      <c r="O49" s="133">
        <f>ÍndicesOF!G33</f>
        <v>1</v>
      </c>
    </row>
    <row r="50" spans="1:15" ht="28.2" customHeight="1" x14ac:dyDescent="0.3">
      <c r="A50" s="127" t="s">
        <v>150</v>
      </c>
      <c r="B50" s="132">
        <f>Índices!H12</f>
        <v>11</v>
      </c>
      <c r="C50" s="133">
        <f>ÍndicesOF!H30</f>
        <v>1</v>
      </c>
      <c r="E50" s="127" t="s">
        <v>150</v>
      </c>
      <c r="F50" s="132">
        <f>Índices!H13</f>
        <v>11</v>
      </c>
      <c r="G50" s="133">
        <f>ÍndicesOF!H31</f>
        <v>1</v>
      </c>
      <c r="I50" s="127" t="s">
        <v>150</v>
      </c>
      <c r="J50" s="132">
        <f>Índices!H14</f>
        <v>11</v>
      </c>
      <c r="K50" s="133">
        <f>ÍndicesOF!H32</f>
        <v>1</v>
      </c>
      <c r="M50" s="127" t="s">
        <v>150</v>
      </c>
      <c r="N50" s="132">
        <f>Índices!H15</f>
        <v>11</v>
      </c>
      <c r="O50" s="133">
        <f>ÍndicesOF!H33</f>
        <v>1</v>
      </c>
    </row>
    <row r="51" spans="1:15" ht="28.2" customHeight="1" x14ac:dyDescent="0.3">
      <c r="A51" s="128" t="s">
        <v>145</v>
      </c>
      <c r="B51" s="134">
        <f>Índices!K12</f>
        <v>11</v>
      </c>
      <c r="C51" s="135">
        <f>ÍndicesDEF!B30</f>
        <v>2</v>
      </c>
      <c r="E51" s="128" t="s">
        <v>145</v>
      </c>
      <c r="F51" s="134">
        <f>Índices!K13</f>
        <v>11</v>
      </c>
      <c r="G51" s="135">
        <f>ÍndicesDEF!B31</f>
        <v>2</v>
      </c>
      <c r="I51" s="128" t="s">
        <v>145</v>
      </c>
      <c r="J51" s="134">
        <f>Índices!K14</f>
        <v>11</v>
      </c>
      <c r="K51" s="135">
        <f>ÍndicesDEF!B32</f>
        <v>2</v>
      </c>
      <c r="M51" s="128" t="s">
        <v>145</v>
      </c>
      <c r="N51" s="134">
        <f>Índices!K15</f>
        <v>11</v>
      </c>
      <c r="O51" s="135">
        <f>ÍndicesDEF!B33</f>
        <v>2</v>
      </c>
    </row>
    <row r="52" spans="1:15" ht="28.2" customHeight="1" x14ac:dyDescent="0.3">
      <c r="A52" s="128" t="s">
        <v>124</v>
      </c>
      <c r="B52" s="134">
        <f>Índices!L12</f>
        <v>11</v>
      </c>
      <c r="C52" s="135">
        <f>ÍndicesDEF!C30</f>
        <v>2</v>
      </c>
      <c r="E52" s="128" t="s">
        <v>124</v>
      </c>
      <c r="F52" s="134">
        <f>Índices!L13</f>
        <v>11</v>
      </c>
      <c r="G52" s="135">
        <f>ÍndicesDEF!C31</f>
        <v>2</v>
      </c>
      <c r="I52" s="128" t="s">
        <v>124</v>
      </c>
      <c r="J52" s="134">
        <f>Índices!L14</f>
        <v>11</v>
      </c>
      <c r="K52" s="135">
        <f>ÍndicesDEF!C32</f>
        <v>2</v>
      </c>
      <c r="M52" s="128" t="s">
        <v>124</v>
      </c>
      <c r="N52" s="134">
        <f>Índices!L15</f>
        <v>11</v>
      </c>
      <c r="O52" s="135">
        <f>ÍndicesDEF!C33</f>
        <v>2</v>
      </c>
    </row>
    <row r="53" spans="1:15" ht="28.2" customHeight="1" x14ac:dyDescent="0.3">
      <c r="A53" s="128" t="s">
        <v>146</v>
      </c>
      <c r="B53" s="134">
        <f>Índices!M12</f>
        <v>11</v>
      </c>
      <c r="C53" s="135">
        <f>ÍndicesDEF!D30</f>
        <v>2</v>
      </c>
      <c r="E53" s="128" t="s">
        <v>146</v>
      </c>
      <c r="F53" s="134">
        <f>Índices!M13</f>
        <v>11</v>
      </c>
      <c r="G53" s="135">
        <f>ÍndicesDEF!D31</f>
        <v>2</v>
      </c>
      <c r="I53" s="128" t="s">
        <v>146</v>
      </c>
      <c r="J53" s="134">
        <f>Índices!M14</f>
        <v>11</v>
      </c>
      <c r="K53" s="135">
        <f>ÍndicesDEF!D32</f>
        <v>2</v>
      </c>
      <c r="M53" s="128" t="s">
        <v>146</v>
      </c>
      <c r="N53" s="134">
        <f>Índices!M15</f>
        <v>11</v>
      </c>
      <c r="O53" s="135">
        <f>ÍndicesDEF!D33</f>
        <v>2</v>
      </c>
    </row>
    <row r="54" spans="1:15" ht="28.2" customHeight="1" x14ac:dyDescent="0.3">
      <c r="A54" s="128" t="s">
        <v>138</v>
      </c>
      <c r="B54" s="134">
        <f>Índices!N12</f>
        <v>11</v>
      </c>
      <c r="C54" s="135">
        <f>ÍndicesDEF!E30</f>
        <v>2</v>
      </c>
      <c r="E54" s="128" t="s">
        <v>138</v>
      </c>
      <c r="F54" s="134">
        <f>Índices!N13</f>
        <v>11</v>
      </c>
      <c r="G54" s="135">
        <f>ÍndicesDEF!E31</f>
        <v>2</v>
      </c>
      <c r="I54" s="128" t="s">
        <v>138</v>
      </c>
      <c r="J54" s="134">
        <f>Índices!N14</f>
        <v>11</v>
      </c>
      <c r="K54" s="135">
        <f>ÍndicesDEF!E32</f>
        <v>2</v>
      </c>
      <c r="M54" s="128" t="s">
        <v>138</v>
      </c>
      <c r="N54" s="134">
        <f>Índices!N15</f>
        <v>11</v>
      </c>
      <c r="O54" s="135">
        <f>ÍndicesDEF!E33</f>
        <v>2</v>
      </c>
    </row>
    <row r="55" spans="1:15" ht="28.2" customHeight="1" x14ac:dyDescent="0.3">
      <c r="A55" s="128" t="s">
        <v>147</v>
      </c>
      <c r="B55" s="134">
        <f>Índices!O12</f>
        <v>11</v>
      </c>
      <c r="C55" s="135">
        <f>ÍndicesDEF!F30</f>
        <v>2</v>
      </c>
      <c r="E55" s="128" t="s">
        <v>147</v>
      </c>
      <c r="F55" s="134">
        <f>Índices!O13</f>
        <v>11</v>
      </c>
      <c r="G55" s="135">
        <f>ÍndicesDEF!F31</f>
        <v>2</v>
      </c>
      <c r="I55" s="128" t="s">
        <v>147</v>
      </c>
      <c r="J55" s="134">
        <f>Índices!O14</f>
        <v>11</v>
      </c>
      <c r="K55" s="135">
        <f>ÍndicesDEF!F32</f>
        <v>2</v>
      </c>
      <c r="M55" s="128" t="s">
        <v>147</v>
      </c>
      <c r="N55" s="134">
        <f>Índices!O15</f>
        <v>11</v>
      </c>
      <c r="O55" s="135">
        <f>ÍndicesDEF!F33</f>
        <v>2</v>
      </c>
    </row>
    <row r="56" spans="1:15" ht="28.2" customHeight="1" x14ac:dyDescent="0.3">
      <c r="A56" s="128" t="s">
        <v>148</v>
      </c>
      <c r="B56" s="134">
        <f>Índices!P12</f>
        <v>11</v>
      </c>
      <c r="C56" s="135">
        <f>ÍndicesDEF!G30</f>
        <v>2</v>
      </c>
      <c r="E56" s="128" t="s">
        <v>148</v>
      </c>
      <c r="F56" s="134">
        <f>Índices!P13</f>
        <v>11</v>
      </c>
      <c r="G56" s="135">
        <f>ÍndicesDEF!G31</f>
        <v>2</v>
      </c>
      <c r="I56" s="128" t="s">
        <v>148</v>
      </c>
      <c r="J56" s="134">
        <f>Índices!P14</f>
        <v>11</v>
      </c>
      <c r="K56" s="135">
        <f>ÍndicesDEF!G32</f>
        <v>2</v>
      </c>
      <c r="M56" s="128" t="s">
        <v>148</v>
      </c>
      <c r="N56" s="134">
        <f>Índices!P15</f>
        <v>11</v>
      </c>
      <c r="O56" s="135">
        <f>ÍndicesDEF!G33</f>
        <v>2</v>
      </c>
    </row>
    <row r="57" spans="1:15" ht="28.2" customHeight="1" x14ac:dyDescent="0.3">
      <c r="A57" s="129" t="s">
        <v>151</v>
      </c>
      <c r="B57" s="136">
        <f>Índices!S12</f>
        <v>11</v>
      </c>
      <c r="C57" s="137">
        <f>ÍndicesGERAL!B30</f>
        <v>2</v>
      </c>
      <c r="E57" s="129" t="s">
        <v>151</v>
      </c>
      <c r="F57" s="136">
        <f>Índices!S13</f>
        <v>11</v>
      </c>
      <c r="G57" s="137">
        <f>ÍndicesGERAL!B31</f>
        <v>2</v>
      </c>
      <c r="I57" s="129" t="s">
        <v>151</v>
      </c>
      <c r="J57" s="136">
        <f>Índices!S14</f>
        <v>11</v>
      </c>
      <c r="K57" s="137">
        <f>ÍndicesGERAL!B32</f>
        <v>2</v>
      </c>
      <c r="M57" s="129" t="s">
        <v>151</v>
      </c>
      <c r="N57" s="136">
        <f>Índices!S15</f>
        <v>11</v>
      </c>
      <c r="O57" s="137">
        <f>ÍndicesGERAL!B33</f>
        <v>2</v>
      </c>
    </row>
    <row r="58" spans="1:15" ht="28.2" customHeight="1" x14ac:dyDescent="0.3">
      <c r="A58" s="129" t="s">
        <v>22</v>
      </c>
      <c r="B58" s="136">
        <f>Índices!T12</f>
        <v>11</v>
      </c>
      <c r="C58" s="137">
        <f>ÍndicesGERAL!C30</f>
        <v>3</v>
      </c>
      <c r="E58" s="129" t="s">
        <v>22</v>
      </c>
      <c r="F58" s="136">
        <f>Índices!T13</f>
        <v>11</v>
      </c>
      <c r="G58" s="137">
        <f>ÍndicesGERAL!C31</f>
        <v>3</v>
      </c>
      <c r="I58" s="129" t="s">
        <v>22</v>
      </c>
      <c r="J58" s="136">
        <f>Índices!T14</f>
        <v>11</v>
      </c>
      <c r="K58" s="137">
        <f>ÍndicesGERAL!C32</f>
        <v>3</v>
      </c>
      <c r="M58" s="129" t="s">
        <v>22</v>
      </c>
      <c r="N58" s="136">
        <f>Índices!T15</f>
        <v>11</v>
      </c>
      <c r="O58" s="137">
        <f>ÍndicesGERAL!C33</f>
        <v>3</v>
      </c>
    </row>
    <row r="59" spans="1:15" ht="28.2" customHeight="1" x14ac:dyDescent="0.3">
      <c r="A59" s="129" t="s">
        <v>152</v>
      </c>
      <c r="B59" s="136">
        <f>Índices!U12</f>
        <v>11</v>
      </c>
      <c r="C59" s="137">
        <f>ÍndicesGERAL!D30</f>
        <v>2</v>
      </c>
      <c r="E59" s="129" t="s">
        <v>152</v>
      </c>
      <c r="F59" s="136">
        <f>Índices!U13</f>
        <v>11</v>
      </c>
      <c r="G59" s="137">
        <f>ÍndicesGERAL!D31</f>
        <v>2</v>
      </c>
      <c r="I59" s="129" t="s">
        <v>152</v>
      </c>
      <c r="J59" s="136">
        <f>Índices!U14</f>
        <v>11</v>
      </c>
      <c r="K59" s="137">
        <f>ÍndicesGERAL!D32</f>
        <v>2</v>
      </c>
      <c r="M59" s="129" t="s">
        <v>152</v>
      </c>
      <c r="N59" s="136">
        <f>Índices!U15</f>
        <v>11</v>
      </c>
      <c r="O59" s="137">
        <f>ÍndicesGERAL!D33</f>
        <v>2</v>
      </c>
    </row>
    <row r="60" spans="1:15" ht="28.2" customHeight="1" x14ac:dyDescent="0.3">
      <c r="A60" s="141"/>
      <c r="B60" s="142"/>
      <c r="C60" s="143"/>
      <c r="D60" s="142"/>
      <c r="E60" s="141"/>
      <c r="F60" s="142"/>
      <c r="G60" s="143"/>
      <c r="H60" s="142"/>
      <c r="I60" s="141"/>
      <c r="J60" s="142"/>
      <c r="K60" s="142"/>
      <c r="L60" s="142"/>
      <c r="M60" s="141"/>
      <c r="N60" s="142"/>
      <c r="O60" s="142"/>
    </row>
    <row r="61" spans="1:15" ht="45.6" x14ac:dyDescent="0.3">
      <c r="A61" s="211" t="s">
        <v>155</v>
      </c>
      <c r="B61" s="211"/>
      <c r="C61" s="211"/>
      <c r="D61" s="211"/>
      <c r="E61" s="211"/>
      <c r="F61" s="211"/>
      <c r="G61" s="211"/>
      <c r="H61" s="211"/>
      <c r="I61" s="211"/>
      <c r="J61" s="211"/>
      <c r="K61" s="211"/>
      <c r="L61" s="211"/>
      <c r="M61" s="211"/>
      <c r="N61" s="211"/>
      <c r="O61" s="211"/>
    </row>
    <row r="62" spans="1:15" ht="28.2" customHeight="1" x14ac:dyDescent="0.3">
      <c r="A62" s="212" t="str">
        <f>Índices!A16</f>
        <v>ALYSSON</v>
      </c>
      <c r="B62" s="212"/>
      <c r="C62" s="212"/>
      <c r="E62" s="212" t="str">
        <f>Índices!A17</f>
        <v>LÉO ELIAS</v>
      </c>
      <c r="F62" s="212"/>
      <c r="G62" s="212"/>
      <c r="I62" s="212" t="str">
        <f>Índices!A18</f>
        <v>LÉO RUDEK</v>
      </c>
      <c r="J62" s="212"/>
      <c r="K62" s="212"/>
      <c r="M62" s="212" t="str">
        <f>Índices!A19</f>
        <v>BAISCH</v>
      </c>
      <c r="N62" s="212"/>
      <c r="O62" s="212"/>
    </row>
    <row r="63" spans="1:15" ht="28.2" customHeight="1" x14ac:dyDescent="0.3">
      <c r="A63" s="131" t="s">
        <v>159</v>
      </c>
      <c r="B63" s="131" t="s">
        <v>101</v>
      </c>
      <c r="C63" s="131" t="s">
        <v>160</v>
      </c>
      <c r="E63" s="131" t="s">
        <v>159</v>
      </c>
      <c r="F63" s="131" t="s">
        <v>101</v>
      </c>
      <c r="G63" s="131" t="s">
        <v>160</v>
      </c>
      <c r="I63" s="131" t="s">
        <v>159</v>
      </c>
      <c r="J63" s="131" t="s">
        <v>101</v>
      </c>
      <c r="K63" s="131" t="s">
        <v>160</v>
      </c>
      <c r="M63" s="131" t="s">
        <v>159</v>
      </c>
      <c r="N63" s="131" t="s">
        <v>101</v>
      </c>
      <c r="O63" s="131" t="s">
        <v>160</v>
      </c>
    </row>
    <row r="64" spans="1:15" ht="28.2" customHeight="1" x14ac:dyDescent="0.3">
      <c r="A64" s="127" t="s">
        <v>143</v>
      </c>
      <c r="B64" s="132">
        <f>Índices!B16</f>
        <v>11</v>
      </c>
      <c r="C64" s="133">
        <f>ÍndicesOF!B34</f>
        <v>1</v>
      </c>
      <c r="E64" s="127" t="s">
        <v>143</v>
      </c>
      <c r="F64" s="132">
        <f>Índices!B17</f>
        <v>11</v>
      </c>
      <c r="G64" s="133">
        <f>ÍndicesOF!B35</f>
        <v>1</v>
      </c>
      <c r="I64" s="127" t="s">
        <v>143</v>
      </c>
      <c r="J64" s="132">
        <f>Índices!B18</f>
        <v>11</v>
      </c>
      <c r="K64" s="133">
        <f>ÍndicesOF!B36</f>
        <v>1</v>
      </c>
      <c r="M64" s="127" t="s">
        <v>143</v>
      </c>
      <c r="N64" s="132">
        <f>Índices!B19</f>
        <v>11</v>
      </c>
      <c r="O64" s="133">
        <f>ÍndicesOF!B37</f>
        <v>1</v>
      </c>
    </row>
    <row r="65" spans="1:15" ht="28.2" customHeight="1" x14ac:dyDescent="0.3">
      <c r="A65" s="127" t="s">
        <v>17</v>
      </c>
      <c r="B65" s="132">
        <f>Índices!C16</f>
        <v>11</v>
      </c>
      <c r="C65" s="133">
        <f>ÍndicesOF!C34</f>
        <v>1</v>
      </c>
      <c r="E65" s="127" t="s">
        <v>17</v>
      </c>
      <c r="F65" s="132">
        <f>Índices!C17</f>
        <v>11</v>
      </c>
      <c r="G65" s="133">
        <f>ÍndicesOF!C35</f>
        <v>1</v>
      </c>
      <c r="I65" s="127" t="s">
        <v>17</v>
      </c>
      <c r="J65" s="132">
        <f>Índices!C18</f>
        <v>11</v>
      </c>
      <c r="K65" s="133">
        <f>ÍndicesOF!C36</f>
        <v>1</v>
      </c>
      <c r="M65" s="127" t="s">
        <v>17</v>
      </c>
      <c r="N65" s="132">
        <f>Índices!C19</f>
        <v>11</v>
      </c>
      <c r="O65" s="133">
        <f>ÍndicesOF!C37</f>
        <v>1</v>
      </c>
    </row>
    <row r="66" spans="1:15" ht="28.2" customHeight="1" x14ac:dyDescent="0.3">
      <c r="A66" s="127" t="s">
        <v>144</v>
      </c>
      <c r="B66" s="132">
        <f>Índices!D16</f>
        <v>11</v>
      </c>
      <c r="C66" s="133">
        <f>ÍndicesOF!D34</f>
        <v>2</v>
      </c>
      <c r="E66" s="127" t="s">
        <v>144</v>
      </c>
      <c r="F66" s="132">
        <f>Índices!D17</f>
        <v>11</v>
      </c>
      <c r="G66" s="133">
        <f>ÍndicesOF!D35</f>
        <v>2</v>
      </c>
      <c r="I66" s="127" t="s">
        <v>144</v>
      </c>
      <c r="J66" s="132">
        <f>Índices!D18</f>
        <v>11</v>
      </c>
      <c r="K66" s="133">
        <f>ÍndicesOF!D36</f>
        <v>2</v>
      </c>
      <c r="M66" s="127" t="s">
        <v>144</v>
      </c>
      <c r="N66" s="132">
        <f>Índices!D19</f>
        <v>11</v>
      </c>
      <c r="O66" s="133">
        <f>ÍndicesOF!D37</f>
        <v>2</v>
      </c>
    </row>
    <row r="67" spans="1:15" ht="28.2" customHeight="1" x14ac:dyDescent="0.3">
      <c r="A67" s="127" t="s">
        <v>141</v>
      </c>
      <c r="B67" s="132">
        <f>Índices!E16</f>
        <v>11</v>
      </c>
      <c r="C67" s="133">
        <f>ÍndicesOF!E34</f>
        <v>1</v>
      </c>
      <c r="E67" s="127" t="s">
        <v>141</v>
      </c>
      <c r="F67" s="132">
        <f>Índices!E17</f>
        <v>11</v>
      </c>
      <c r="G67" s="133">
        <f>ÍndicesOF!E35</f>
        <v>1</v>
      </c>
      <c r="I67" s="127" t="s">
        <v>141</v>
      </c>
      <c r="J67" s="132">
        <f>Índices!E18</f>
        <v>11</v>
      </c>
      <c r="K67" s="133">
        <f>ÍndicesOF!E36</f>
        <v>1</v>
      </c>
      <c r="M67" s="127" t="s">
        <v>141</v>
      </c>
      <c r="N67" s="132">
        <f>Índices!E19</f>
        <v>11</v>
      </c>
      <c r="O67" s="133">
        <f>ÍndicesOF!E37</f>
        <v>1</v>
      </c>
    </row>
    <row r="68" spans="1:15" ht="28.2" customHeight="1" x14ac:dyDescent="0.3">
      <c r="A68" s="127" t="s">
        <v>142</v>
      </c>
      <c r="B68" s="132">
        <f>Índices!F16</f>
        <v>11</v>
      </c>
      <c r="C68" s="133">
        <f>ÍndicesOF!F34</f>
        <v>1</v>
      </c>
      <c r="E68" s="127" t="s">
        <v>142</v>
      </c>
      <c r="F68" s="132">
        <f>Índices!F17</f>
        <v>11</v>
      </c>
      <c r="G68" s="133">
        <f>ÍndicesOF!F35</f>
        <v>1</v>
      </c>
      <c r="I68" s="127" t="s">
        <v>142</v>
      </c>
      <c r="J68" s="132">
        <f>Índices!F18</f>
        <v>11</v>
      </c>
      <c r="K68" s="133">
        <f>ÍndicesOF!F36</f>
        <v>1</v>
      </c>
      <c r="M68" s="127" t="s">
        <v>142</v>
      </c>
      <c r="N68" s="132">
        <f>Índices!F19</f>
        <v>11</v>
      </c>
      <c r="O68" s="133">
        <f>ÍndicesOF!F37</f>
        <v>1</v>
      </c>
    </row>
    <row r="69" spans="1:15" ht="28.2" customHeight="1" x14ac:dyDescent="0.3">
      <c r="A69" s="127" t="s">
        <v>149</v>
      </c>
      <c r="B69" s="132">
        <f>Índices!G16</f>
        <v>11</v>
      </c>
      <c r="C69" s="133">
        <f>ÍndicesOF!G34</f>
        <v>1</v>
      </c>
      <c r="E69" s="127" t="s">
        <v>149</v>
      </c>
      <c r="F69" s="132">
        <f>Índices!G17</f>
        <v>11</v>
      </c>
      <c r="G69" s="133">
        <f>ÍndicesOF!G35</f>
        <v>1</v>
      </c>
      <c r="I69" s="127" t="s">
        <v>149</v>
      </c>
      <c r="J69" s="132">
        <f>Índices!G18</f>
        <v>11</v>
      </c>
      <c r="K69" s="133">
        <f>ÍndicesOF!G36</f>
        <v>1</v>
      </c>
      <c r="M69" s="127" t="s">
        <v>149</v>
      </c>
      <c r="N69" s="132">
        <f>Índices!G19</f>
        <v>11</v>
      </c>
      <c r="O69" s="133">
        <f>ÍndicesOF!G37</f>
        <v>1</v>
      </c>
    </row>
    <row r="70" spans="1:15" ht="28.2" customHeight="1" x14ac:dyDescent="0.3">
      <c r="A70" s="127" t="s">
        <v>150</v>
      </c>
      <c r="B70" s="132">
        <f>Índices!H16</f>
        <v>11</v>
      </c>
      <c r="C70" s="133">
        <f>ÍndicesOF!H34</f>
        <v>1</v>
      </c>
      <c r="E70" s="127" t="s">
        <v>150</v>
      </c>
      <c r="F70" s="132">
        <f>Índices!H17</f>
        <v>11</v>
      </c>
      <c r="G70" s="133">
        <f>ÍndicesOF!H35</f>
        <v>1</v>
      </c>
      <c r="I70" s="127" t="s">
        <v>150</v>
      </c>
      <c r="J70" s="132">
        <f>Índices!H18</f>
        <v>11</v>
      </c>
      <c r="K70" s="133">
        <f>ÍndicesOF!H36</f>
        <v>1</v>
      </c>
      <c r="M70" s="127" t="s">
        <v>150</v>
      </c>
      <c r="N70" s="132">
        <f>Índices!H19</f>
        <v>11</v>
      </c>
      <c r="O70" s="133">
        <f>ÍndicesOF!H37</f>
        <v>1</v>
      </c>
    </row>
    <row r="71" spans="1:15" ht="28.2" customHeight="1" x14ac:dyDescent="0.3">
      <c r="A71" s="128" t="s">
        <v>145</v>
      </c>
      <c r="B71" s="134">
        <f>Índices!K16</f>
        <v>11</v>
      </c>
      <c r="C71" s="135">
        <f>ÍndicesDEF!B34</f>
        <v>2</v>
      </c>
      <c r="E71" s="128" t="s">
        <v>145</v>
      </c>
      <c r="F71" s="134">
        <f>Índices!K17</f>
        <v>11</v>
      </c>
      <c r="G71" s="135">
        <f>ÍndicesDEF!B35</f>
        <v>2</v>
      </c>
      <c r="I71" s="128" t="s">
        <v>145</v>
      </c>
      <c r="J71" s="134">
        <f>Índices!K18</f>
        <v>11</v>
      </c>
      <c r="K71" s="135">
        <f>ÍndicesDEF!B36</f>
        <v>2</v>
      </c>
      <c r="M71" s="128" t="s">
        <v>145</v>
      </c>
      <c r="N71" s="134">
        <f>Índices!K19</f>
        <v>11</v>
      </c>
      <c r="O71" s="135">
        <f>ÍndicesDEF!B37</f>
        <v>2</v>
      </c>
    </row>
    <row r="72" spans="1:15" ht="28.2" customHeight="1" x14ac:dyDescent="0.3">
      <c r="A72" s="128" t="s">
        <v>124</v>
      </c>
      <c r="B72" s="134">
        <f>Índices!L16</f>
        <v>11</v>
      </c>
      <c r="C72" s="135">
        <f>ÍndicesDEF!C34</f>
        <v>2</v>
      </c>
      <c r="E72" s="128" t="s">
        <v>124</v>
      </c>
      <c r="F72" s="134">
        <f>Índices!L17</f>
        <v>11</v>
      </c>
      <c r="G72" s="135">
        <f>ÍndicesDEF!C35</f>
        <v>2</v>
      </c>
      <c r="I72" s="128" t="s">
        <v>124</v>
      </c>
      <c r="J72" s="134">
        <f>Índices!L18</f>
        <v>11</v>
      </c>
      <c r="K72" s="135">
        <f>ÍndicesDEF!C36</f>
        <v>2</v>
      </c>
      <c r="M72" s="128" t="s">
        <v>124</v>
      </c>
      <c r="N72" s="134">
        <f>Índices!L19</f>
        <v>11</v>
      </c>
      <c r="O72" s="135">
        <f>ÍndicesDEF!C37</f>
        <v>2</v>
      </c>
    </row>
    <row r="73" spans="1:15" ht="28.2" customHeight="1" x14ac:dyDescent="0.3">
      <c r="A73" s="128" t="s">
        <v>146</v>
      </c>
      <c r="B73" s="134">
        <f>Índices!M16</f>
        <v>11</v>
      </c>
      <c r="C73" s="135">
        <f>ÍndicesDEF!D34</f>
        <v>2</v>
      </c>
      <c r="E73" s="128" t="s">
        <v>146</v>
      </c>
      <c r="F73" s="134">
        <f>Índices!M17</f>
        <v>11</v>
      </c>
      <c r="G73" s="135">
        <f>ÍndicesDEF!D35</f>
        <v>2</v>
      </c>
      <c r="I73" s="128" t="s">
        <v>146</v>
      </c>
      <c r="J73" s="134">
        <f>Índices!M18</f>
        <v>11</v>
      </c>
      <c r="K73" s="135">
        <f>ÍndicesDEF!D36</f>
        <v>2</v>
      </c>
      <c r="M73" s="128" t="s">
        <v>146</v>
      </c>
      <c r="N73" s="134">
        <f>Índices!M19</f>
        <v>11</v>
      </c>
      <c r="O73" s="135">
        <f>ÍndicesDEF!D37</f>
        <v>2</v>
      </c>
    </row>
    <row r="74" spans="1:15" ht="28.2" customHeight="1" x14ac:dyDescent="0.3">
      <c r="A74" s="128" t="s">
        <v>138</v>
      </c>
      <c r="B74" s="134">
        <f>Índices!N16</f>
        <v>11</v>
      </c>
      <c r="C74" s="135">
        <f>ÍndicesDEF!E34</f>
        <v>2</v>
      </c>
      <c r="E74" s="128" t="s">
        <v>138</v>
      </c>
      <c r="F74" s="134">
        <f>Índices!N17</f>
        <v>11</v>
      </c>
      <c r="G74" s="135">
        <f>ÍndicesDEF!E35</f>
        <v>2</v>
      </c>
      <c r="I74" s="128" t="s">
        <v>138</v>
      </c>
      <c r="J74" s="134">
        <f>Índices!N18</f>
        <v>11</v>
      </c>
      <c r="K74" s="135">
        <f>ÍndicesDEF!E36</f>
        <v>2</v>
      </c>
      <c r="M74" s="128" t="s">
        <v>138</v>
      </c>
      <c r="N74" s="134">
        <f>Índices!N19</f>
        <v>11</v>
      </c>
      <c r="O74" s="135">
        <f>ÍndicesDEF!E37</f>
        <v>2</v>
      </c>
    </row>
    <row r="75" spans="1:15" ht="28.2" customHeight="1" x14ac:dyDescent="0.3">
      <c r="A75" s="128" t="s">
        <v>147</v>
      </c>
      <c r="B75" s="134">
        <f>Índices!O16</f>
        <v>11</v>
      </c>
      <c r="C75" s="135">
        <f>ÍndicesDEF!F34</f>
        <v>2</v>
      </c>
      <c r="E75" s="128" t="s">
        <v>147</v>
      </c>
      <c r="F75" s="134">
        <f>Índices!O17</f>
        <v>11</v>
      </c>
      <c r="G75" s="135">
        <f>ÍndicesDEF!F35</f>
        <v>2</v>
      </c>
      <c r="I75" s="128" t="s">
        <v>147</v>
      </c>
      <c r="J75" s="134">
        <f>Índices!O18</f>
        <v>11</v>
      </c>
      <c r="K75" s="135">
        <f>ÍndicesDEF!F36</f>
        <v>2</v>
      </c>
      <c r="M75" s="128" t="s">
        <v>147</v>
      </c>
      <c r="N75" s="134">
        <f>Índices!O19</f>
        <v>11</v>
      </c>
      <c r="O75" s="135">
        <f>ÍndicesDEF!F37</f>
        <v>2</v>
      </c>
    </row>
    <row r="76" spans="1:15" ht="28.2" customHeight="1" x14ac:dyDescent="0.3">
      <c r="A76" s="128" t="s">
        <v>148</v>
      </c>
      <c r="B76" s="134">
        <f>Índices!P16</f>
        <v>11</v>
      </c>
      <c r="C76" s="135">
        <f>ÍndicesDEF!G34</f>
        <v>2</v>
      </c>
      <c r="E76" s="128" t="s">
        <v>148</v>
      </c>
      <c r="F76" s="134">
        <f>Índices!P17</f>
        <v>11</v>
      </c>
      <c r="G76" s="135">
        <f>ÍndicesDEF!G35</f>
        <v>2</v>
      </c>
      <c r="I76" s="128" t="s">
        <v>148</v>
      </c>
      <c r="J76" s="134">
        <f>Índices!P18</f>
        <v>11</v>
      </c>
      <c r="K76" s="135">
        <f>ÍndicesDEF!G36</f>
        <v>2</v>
      </c>
      <c r="M76" s="128" t="s">
        <v>148</v>
      </c>
      <c r="N76" s="134">
        <f>Índices!P19</f>
        <v>11</v>
      </c>
      <c r="O76" s="135">
        <f>ÍndicesDEF!G37</f>
        <v>2</v>
      </c>
    </row>
    <row r="77" spans="1:15" ht="28.2" customHeight="1" x14ac:dyDescent="0.3">
      <c r="A77" s="129" t="s">
        <v>151</v>
      </c>
      <c r="B77" s="136">
        <f>Índices!S16</f>
        <v>11</v>
      </c>
      <c r="C77" s="137">
        <f>ÍndicesGERAL!B34</f>
        <v>2</v>
      </c>
      <c r="E77" s="129" t="s">
        <v>151</v>
      </c>
      <c r="F77" s="136">
        <f>Índices!S17</f>
        <v>11</v>
      </c>
      <c r="G77" s="137">
        <f>ÍndicesGERAL!B35</f>
        <v>2</v>
      </c>
      <c r="I77" s="129" t="s">
        <v>151</v>
      </c>
      <c r="J77" s="136">
        <f>Índices!S18</f>
        <v>11</v>
      </c>
      <c r="K77" s="137">
        <f>ÍndicesGERAL!B36</f>
        <v>2</v>
      </c>
      <c r="M77" s="129" t="s">
        <v>151</v>
      </c>
      <c r="N77" s="136">
        <f>Índices!S19</f>
        <v>11</v>
      </c>
      <c r="O77" s="137">
        <f>ÍndicesGERAL!B37</f>
        <v>2</v>
      </c>
    </row>
    <row r="78" spans="1:15" ht="28.2" customHeight="1" x14ac:dyDescent="0.3">
      <c r="A78" s="129" t="s">
        <v>22</v>
      </c>
      <c r="B78" s="136">
        <f>Índices!T16</f>
        <v>11</v>
      </c>
      <c r="C78" s="137">
        <f>ÍndicesGERAL!C34</f>
        <v>3</v>
      </c>
      <c r="E78" s="129" t="s">
        <v>22</v>
      </c>
      <c r="F78" s="136">
        <f>Índices!T17</f>
        <v>11</v>
      </c>
      <c r="G78" s="137">
        <f>ÍndicesGERAL!C35</f>
        <v>3</v>
      </c>
      <c r="I78" s="129" t="s">
        <v>22</v>
      </c>
      <c r="J78" s="136">
        <f>Índices!T18</f>
        <v>11</v>
      </c>
      <c r="K78" s="137">
        <f>ÍndicesGERAL!C36</f>
        <v>3</v>
      </c>
      <c r="M78" s="129" t="s">
        <v>22</v>
      </c>
      <c r="N78" s="136">
        <f>Índices!T19</f>
        <v>11</v>
      </c>
      <c r="O78" s="137">
        <f>ÍndicesGERAL!C37</f>
        <v>3</v>
      </c>
    </row>
    <row r="79" spans="1:15" ht="28.2" customHeight="1" x14ac:dyDescent="0.3">
      <c r="A79" s="129" t="s">
        <v>152</v>
      </c>
      <c r="B79" s="136">
        <f>Índices!U16</f>
        <v>11</v>
      </c>
      <c r="C79" s="137">
        <f>ÍndicesGERAL!D34</f>
        <v>2</v>
      </c>
      <c r="E79" s="129" t="s">
        <v>152</v>
      </c>
      <c r="F79" s="136">
        <f>Índices!U17</f>
        <v>11</v>
      </c>
      <c r="G79" s="137">
        <f>ÍndicesGERAL!D35</f>
        <v>2</v>
      </c>
      <c r="I79" s="129" t="s">
        <v>152</v>
      </c>
      <c r="J79" s="136">
        <f>Índices!U18</f>
        <v>11</v>
      </c>
      <c r="K79" s="137">
        <f>ÍndicesGERAL!D36</f>
        <v>2</v>
      </c>
      <c r="M79" s="129" t="s">
        <v>152</v>
      </c>
      <c r="N79" s="136">
        <f>Índices!U19</f>
        <v>11</v>
      </c>
      <c r="O79" s="137">
        <f>ÍndicesGERAL!D37</f>
        <v>2</v>
      </c>
    </row>
    <row r="80" spans="1:15" ht="28.2" customHeight="1" x14ac:dyDescent="0.3">
      <c r="A80" s="141"/>
      <c r="B80" s="142"/>
      <c r="C80" s="143"/>
      <c r="D80" s="142"/>
      <c r="E80" s="141"/>
      <c r="F80" s="142"/>
      <c r="G80" s="143"/>
      <c r="H80" s="142"/>
      <c r="I80" s="141"/>
      <c r="J80" s="142"/>
      <c r="K80" s="142"/>
      <c r="L80" s="142"/>
      <c r="M80" s="141"/>
      <c r="N80" s="142"/>
      <c r="O80" s="142"/>
    </row>
  </sheetData>
  <mergeCells count="20">
    <mergeCell ref="A62:C62"/>
    <mergeCell ref="E62:G62"/>
    <mergeCell ref="I62:K62"/>
    <mergeCell ref="M62:O62"/>
    <mergeCell ref="M42:O42"/>
    <mergeCell ref="I42:K42"/>
    <mergeCell ref="E42:G42"/>
    <mergeCell ref="A42:C42"/>
    <mergeCell ref="A1:O1"/>
    <mergeCell ref="A21:O21"/>
    <mergeCell ref="A41:O41"/>
    <mergeCell ref="A61:O61"/>
    <mergeCell ref="A2:C2"/>
    <mergeCell ref="M2:O2"/>
    <mergeCell ref="I2:K2"/>
    <mergeCell ref="E2:G2"/>
    <mergeCell ref="M22:O22"/>
    <mergeCell ref="I22:K22"/>
    <mergeCell ref="E22:G22"/>
    <mergeCell ref="A22:C22"/>
  </mergeCells>
  <conditionalFormatting sqref="A4:B19 D4:F19 H4:J19 L4:N19">
    <cfRule type="iconSet" priority="223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A24:B39 D24:F39 H24:J39 L24:N39">
    <cfRule type="iconSet" priority="224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B4:B10">
    <cfRule type="dataBar" priority="391">
      <dataBar>
        <cfvo type="num" val="0"/>
        <cfvo type="num" val="150"/>
        <color theme="8" tint="-0.249977111117893"/>
      </dataBar>
      <extLst>
        <ext xmlns:x14="http://schemas.microsoft.com/office/spreadsheetml/2009/9/main" uri="{B025F937-C7B1-47D3-B67F-A62EFF666E3E}">
          <x14:id>{A8C48DD3-BEF3-40F2-9742-C7C075003DEF}</x14:id>
        </ext>
      </extLst>
    </cfRule>
    <cfRule type="dataBar" priority="394">
      <dataBar>
        <cfvo type="num" val="0"/>
        <cfvo type="num" val="150"/>
        <color theme="4" tint="-0.249977111117893"/>
      </dataBar>
      <extLst>
        <ext xmlns:x14="http://schemas.microsoft.com/office/spreadsheetml/2009/9/main" uri="{B025F937-C7B1-47D3-B67F-A62EFF666E3E}">
          <x14:id>{217F17B7-3B84-4551-AE54-074959FBD634}</x14:id>
        </ext>
      </extLst>
    </cfRule>
    <cfRule type="dataBar" priority="398">
      <dataBar>
        <cfvo type="min"/>
        <cfvo type="num" val="150"/>
        <color rgb="FF638EC6"/>
      </dataBar>
      <extLst>
        <ext xmlns:x14="http://schemas.microsoft.com/office/spreadsheetml/2009/9/main" uri="{B025F937-C7B1-47D3-B67F-A62EFF666E3E}">
          <x14:id>{EAE34C3A-70CC-4679-8682-A4881AC8749F}</x14:id>
        </ext>
      </extLst>
    </cfRule>
    <cfRule type="dataBar" priority="3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{302031A7-B9D8-4642-931C-A82908223B9E}</x14:id>
        </ext>
      </extLst>
    </cfRule>
  </conditionalFormatting>
  <conditionalFormatting sqref="B4:B19">
    <cfRule type="iconSet" priority="400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B11:B16">
    <cfRule type="dataBar" priority="393">
      <dataBar>
        <cfvo type="num" val="0"/>
        <cfvo type="num" val="150"/>
        <color theme="5" tint="-0.249977111117893"/>
      </dataBar>
      <extLst>
        <ext xmlns:x14="http://schemas.microsoft.com/office/spreadsheetml/2009/9/main" uri="{B025F937-C7B1-47D3-B67F-A62EFF666E3E}">
          <x14:id>{2FEFE123-12C3-466F-AFC5-C30568DC150C}</x14:id>
        </ext>
      </extLst>
    </cfRule>
    <cfRule type="dataBar" priority="397">
      <dataBar>
        <cfvo type="min"/>
        <cfvo type="num" val="150"/>
        <color theme="5" tint="0.59999389629810485"/>
      </dataBar>
      <extLst>
        <ext xmlns:x14="http://schemas.microsoft.com/office/spreadsheetml/2009/9/main" uri="{B025F937-C7B1-47D3-B67F-A62EFF666E3E}">
          <x14:id>{130EA650-E59D-4C30-8531-DC1513521095}</x14:id>
        </ext>
      </extLst>
    </cfRule>
  </conditionalFormatting>
  <conditionalFormatting sqref="B17:B19">
    <cfRule type="dataBar" priority="392">
      <dataBar>
        <cfvo type="num" val="0"/>
        <cfvo type="num" val="150"/>
        <color theme="9" tint="-0.249977111117893"/>
      </dataBar>
      <extLst>
        <ext xmlns:x14="http://schemas.microsoft.com/office/spreadsheetml/2009/9/main" uri="{B025F937-C7B1-47D3-B67F-A62EFF666E3E}">
          <x14:id>{EE3DE4DF-F5CF-4DDE-9A95-C5B3695FA5E8}</x14:id>
        </ext>
      </extLst>
    </cfRule>
    <cfRule type="dataBar" priority="395">
      <dataBar>
        <cfvo type="num" val="0"/>
        <cfvo type="num" val="150"/>
        <color theme="9" tint="0.39997558519241921"/>
      </dataBar>
      <extLst>
        <ext xmlns:x14="http://schemas.microsoft.com/office/spreadsheetml/2009/9/main" uri="{B025F937-C7B1-47D3-B67F-A62EFF666E3E}">
          <x14:id>{7749DB7A-3FC9-4B68-85A3-24686744A309}</x14:id>
        </ext>
      </extLst>
    </cfRule>
    <cfRule type="dataBar" priority="396">
      <dataBar>
        <cfvo type="min"/>
        <cfvo type="num" val="150"/>
        <color theme="9" tint="0.39997558519241921"/>
      </dataBar>
      <extLst>
        <ext xmlns:x14="http://schemas.microsoft.com/office/spreadsheetml/2009/9/main" uri="{B025F937-C7B1-47D3-B67F-A62EFF666E3E}">
          <x14:id>{708A42EF-B454-4ED4-B40C-B5F440AA3102}</x14:id>
        </ext>
      </extLst>
    </cfRule>
  </conditionalFormatting>
  <conditionalFormatting sqref="B24:B30">
    <cfRule type="dataBar" priority="338">
      <dataBar>
        <cfvo type="num" val="0"/>
        <cfvo type="num" val="150"/>
        <color theme="8" tint="-0.249977111117893"/>
      </dataBar>
      <extLst>
        <ext xmlns:x14="http://schemas.microsoft.com/office/spreadsheetml/2009/9/main" uri="{B025F937-C7B1-47D3-B67F-A62EFF666E3E}">
          <x14:id>{19047845-90B2-4608-A0AB-F402C80549DC}</x14:id>
        </ext>
      </extLst>
    </cfRule>
    <cfRule type="dataBar" priority="341">
      <dataBar>
        <cfvo type="num" val="0"/>
        <cfvo type="num" val="150"/>
        <color theme="4" tint="-0.249977111117893"/>
      </dataBar>
      <extLst>
        <ext xmlns:x14="http://schemas.microsoft.com/office/spreadsheetml/2009/9/main" uri="{B025F937-C7B1-47D3-B67F-A62EFF666E3E}">
          <x14:id>{2F7F61CD-F228-44C7-B649-B20203641F1C}</x14:id>
        </ext>
      </extLst>
    </cfRule>
    <cfRule type="dataBar" priority="345">
      <dataBar>
        <cfvo type="min"/>
        <cfvo type="num" val="150"/>
        <color rgb="FF638EC6"/>
      </dataBar>
      <extLst>
        <ext xmlns:x14="http://schemas.microsoft.com/office/spreadsheetml/2009/9/main" uri="{B025F937-C7B1-47D3-B67F-A62EFF666E3E}">
          <x14:id>{E6B10EEF-C937-4EC0-A3D0-83C8758A761E}</x14:id>
        </ext>
      </extLst>
    </cfRule>
    <cfRule type="dataBar" priority="3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{20036E4B-0F2F-4A71-92D9-CD8C4ED3B9FC}</x14:id>
        </ext>
      </extLst>
    </cfRule>
  </conditionalFormatting>
  <conditionalFormatting sqref="B24:B39">
    <cfRule type="iconSet" priority="347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B31:B36">
    <cfRule type="dataBar" priority="340">
      <dataBar>
        <cfvo type="num" val="0"/>
        <cfvo type="num" val="150"/>
        <color theme="5" tint="-0.249977111117893"/>
      </dataBar>
      <extLst>
        <ext xmlns:x14="http://schemas.microsoft.com/office/spreadsheetml/2009/9/main" uri="{B025F937-C7B1-47D3-B67F-A62EFF666E3E}">
          <x14:id>{1D4D8E08-DBD9-4C49-BA94-81BD3D53E9F0}</x14:id>
        </ext>
      </extLst>
    </cfRule>
    <cfRule type="dataBar" priority="344">
      <dataBar>
        <cfvo type="min"/>
        <cfvo type="num" val="150"/>
        <color theme="5" tint="0.59999389629810485"/>
      </dataBar>
      <extLst>
        <ext xmlns:x14="http://schemas.microsoft.com/office/spreadsheetml/2009/9/main" uri="{B025F937-C7B1-47D3-B67F-A62EFF666E3E}">
          <x14:id>{FC9EA11E-0647-402F-843C-27F00ED89E1D}</x14:id>
        </ext>
      </extLst>
    </cfRule>
  </conditionalFormatting>
  <conditionalFormatting sqref="B37:B39">
    <cfRule type="dataBar" priority="339">
      <dataBar>
        <cfvo type="num" val="0"/>
        <cfvo type="num" val="150"/>
        <color theme="9" tint="-0.249977111117893"/>
      </dataBar>
      <extLst>
        <ext xmlns:x14="http://schemas.microsoft.com/office/spreadsheetml/2009/9/main" uri="{B025F937-C7B1-47D3-B67F-A62EFF666E3E}">
          <x14:id>{4DA031F5-B212-46A1-8DA3-E0E3C7021EE6}</x14:id>
        </ext>
      </extLst>
    </cfRule>
    <cfRule type="dataBar" priority="342">
      <dataBar>
        <cfvo type="num" val="0"/>
        <cfvo type="num" val="150"/>
        <color theme="9" tint="0.39997558519241921"/>
      </dataBar>
      <extLst>
        <ext xmlns:x14="http://schemas.microsoft.com/office/spreadsheetml/2009/9/main" uri="{B025F937-C7B1-47D3-B67F-A62EFF666E3E}">
          <x14:id>{D23CCDBA-08F8-40C1-B5D8-43470720CDAD}</x14:id>
        </ext>
      </extLst>
    </cfRule>
    <cfRule type="dataBar" priority="343">
      <dataBar>
        <cfvo type="min"/>
        <cfvo type="num" val="150"/>
        <color theme="9" tint="0.39997558519241921"/>
      </dataBar>
      <extLst>
        <ext xmlns:x14="http://schemas.microsoft.com/office/spreadsheetml/2009/9/main" uri="{B025F937-C7B1-47D3-B67F-A62EFF666E3E}">
          <x14:id>{907F5D3D-7B1C-4960-919B-EE558155CBED}</x14:id>
        </ext>
      </extLst>
    </cfRule>
  </conditionalFormatting>
  <conditionalFormatting sqref="F4:F10">
    <cfRule type="dataBar" priority="348">
      <dataBar>
        <cfvo type="num" val="0"/>
        <cfvo type="num" val="150"/>
        <color theme="8" tint="-0.249977111117893"/>
      </dataBar>
      <extLst>
        <ext xmlns:x14="http://schemas.microsoft.com/office/spreadsheetml/2009/9/main" uri="{B025F937-C7B1-47D3-B67F-A62EFF666E3E}">
          <x14:id>{356151B5-DD1F-48AA-A336-7F0DAC2A6049}</x14:id>
        </ext>
      </extLst>
    </cfRule>
    <cfRule type="dataBar" priority="351">
      <dataBar>
        <cfvo type="num" val="0"/>
        <cfvo type="num" val="150"/>
        <color theme="4" tint="-0.249977111117893"/>
      </dataBar>
      <extLst>
        <ext xmlns:x14="http://schemas.microsoft.com/office/spreadsheetml/2009/9/main" uri="{B025F937-C7B1-47D3-B67F-A62EFF666E3E}">
          <x14:id>{89E9C7E8-8414-4546-BB14-263AA618989C}</x14:id>
        </ext>
      </extLst>
    </cfRule>
    <cfRule type="dataBar" priority="355">
      <dataBar>
        <cfvo type="min"/>
        <cfvo type="num" val="150"/>
        <color rgb="FF638EC6"/>
      </dataBar>
      <extLst>
        <ext xmlns:x14="http://schemas.microsoft.com/office/spreadsheetml/2009/9/main" uri="{B025F937-C7B1-47D3-B67F-A62EFF666E3E}">
          <x14:id>{17E6F869-AEDE-4D09-A851-B149B9D4E4C9}</x14:id>
        </ext>
      </extLst>
    </cfRule>
    <cfRule type="dataBar" priority="3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{1F305E8E-D528-4F32-8066-D5A0E2DC2459}</x14:id>
        </ext>
      </extLst>
    </cfRule>
  </conditionalFormatting>
  <conditionalFormatting sqref="F4:F19">
    <cfRule type="iconSet" priority="357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F11:F16">
    <cfRule type="dataBar" priority="350">
      <dataBar>
        <cfvo type="num" val="0"/>
        <cfvo type="num" val="150"/>
        <color theme="5" tint="-0.249977111117893"/>
      </dataBar>
      <extLst>
        <ext xmlns:x14="http://schemas.microsoft.com/office/spreadsheetml/2009/9/main" uri="{B025F937-C7B1-47D3-B67F-A62EFF666E3E}">
          <x14:id>{82D36F20-FE39-4E24-BA03-8C87C45846BC}</x14:id>
        </ext>
      </extLst>
    </cfRule>
    <cfRule type="dataBar" priority="354">
      <dataBar>
        <cfvo type="min"/>
        <cfvo type="num" val="150"/>
        <color theme="5" tint="0.59999389629810485"/>
      </dataBar>
      <extLst>
        <ext xmlns:x14="http://schemas.microsoft.com/office/spreadsheetml/2009/9/main" uri="{B025F937-C7B1-47D3-B67F-A62EFF666E3E}">
          <x14:id>{F77AF3B9-4D0E-408A-9064-C3C34D1AD9E2}</x14:id>
        </ext>
      </extLst>
    </cfRule>
  </conditionalFormatting>
  <conditionalFormatting sqref="F17:F19">
    <cfRule type="dataBar" priority="349">
      <dataBar>
        <cfvo type="num" val="0"/>
        <cfvo type="num" val="150"/>
        <color theme="9" tint="-0.249977111117893"/>
      </dataBar>
      <extLst>
        <ext xmlns:x14="http://schemas.microsoft.com/office/spreadsheetml/2009/9/main" uri="{B025F937-C7B1-47D3-B67F-A62EFF666E3E}">
          <x14:id>{8B9E7C3A-531D-4805-807D-6A090AAFE358}</x14:id>
        </ext>
      </extLst>
    </cfRule>
    <cfRule type="dataBar" priority="352">
      <dataBar>
        <cfvo type="num" val="0"/>
        <cfvo type="num" val="150"/>
        <color theme="9" tint="0.39997558519241921"/>
      </dataBar>
      <extLst>
        <ext xmlns:x14="http://schemas.microsoft.com/office/spreadsheetml/2009/9/main" uri="{B025F937-C7B1-47D3-B67F-A62EFF666E3E}">
          <x14:id>{58C60AF5-98DC-4ACB-AF88-7C4069169A03}</x14:id>
        </ext>
      </extLst>
    </cfRule>
    <cfRule type="dataBar" priority="353">
      <dataBar>
        <cfvo type="min"/>
        <cfvo type="num" val="150"/>
        <color theme="9" tint="0.39997558519241921"/>
      </dataBar>
      <extLst>
        <ext xmlns:x14="http://schemas.microsoft.com/office/spreadsheetml/2009/9/main" uri="{B025F937-C7B1-47D3-B67F-A62EFF666E3E}">
          <x14:id>{6A5E4BFD-5227-4DA0-BFCC-D90295043FFC}</x14:id>
        </ext>
      </extLst>
    </cfRule>
  </conditionalFormatting>
  <conditionalFormatting sqref="F24:F30">
    <cfRule type="dataBar" priority="308">
      <dataBar>
        <cfvo type="num" val="0"/>
        <cfvo type="num" val="150"/>
        <color theme="8" tint="-0.249977111117893"/>
      </dataBar>
      <extLst>
        <ext xmlns:x14="http://schemas.microsoft.com/office/spreadsheetml/2009/9/main" uri="{B025F937-C7B1-47D3-B67F-A62EFF666E3E}">
          <x14:id>{4E75749C-2B24-4E2D-B7CD-D9EBC75A550A}</x14:id>
        </ext>
      </extLst>
    </cfRule>
    <cfRule type="dataBar" priority="311">
      <dataBar>
        <cfvo type="num" val="0"/>
        <cfvo type="num" val="150"/>
        <color theme="4" tint="-0.249977111117893"/>
      </dataBar>
      <extLst>
        <ext xmlns:x14="http://schemas.microsoft.com/office/spreadsheetml/2009/9/main" uri="{B025F937-C7B1-47D3-B67F-A62EFF666E3E}">
          <x14:id>{9A105223-2DF2-49BA-AEB1-2F4F6B4E0857}</x14:id>
        </ext>
      </extLst>
    </cfRule>
    <cfRule type="dataBar" priority="315">
      <dataBar>
        <cfvo type="min"/>
        <cfvo type="num" val="150"/>
        <color rgb="FF638EC6"/>
      </dataBar>
      <extLst>
        <ext xmlns:x14="http://schemas.microsoft.com/office/spreadsheetml/2009/9/main" uri="{B025F937-C7B1-47D3-B67F-A62EFF666E3E}">
          <x14:id>{42A87BA8-6BDE-44E5-82EF-01ACD8DE2FDE}</x14:id>
        </ext>
      </extLst>
    </cfRule>
    <cfRule type="dataBar" priority="3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{E742A122-69E8-4EC1-8CEE-5DBCF70FC43A}</x14:id>
        </ext>
      </extLst>
    </cfRule>
  </conditionalFormatting>
  <conditionalFormatting sqref="F24:F39">
    <cfRule type="iconSet" priority="317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F31:F36">
    <cfRule type="dataBar" priority="310">
      <dataBar>
        <cfvo type="num" val="0"/>
        <cfvo type="num" val="150"/>
        <color theme="5" tint="-0.249977111117893"/>
      </dataBar>
      <extLst>
        <ext xmlns:x14="http://schemas.microsoft.com/office/spreadsheetml/2009/9/main" uri="{B025F937-C7B1-47D3-B67F-A62EFF666E3E}">
          <x14:id>{871BC587-874A-42AB-BB33-C483EC6B459C}</x14:id>
        </ext>
      </extLst>
    </cfRule>
    <cfRule type="dataBar" priority="314">
      <dataBar>
        <cfvo type="min"/>
        <cfvo type="num" val="150"/>
        <color theme="5" tint="0.59999389629810485"/>
      </dataBar>
      <extLst>
        <ext xmlns:x14="http://schemas.microsoft.com/office/spreadsheetml/2009/9/main" uri="{B025F937-C7B1-47D3-B67F-A62EFF666E3E}">
          <x14:id>{F620DEDA-34F7-4CB8-AC3F-86D1519F9DFF}</x14:id>
        </ext>
      </extLst>
    </cfRule>
  </conditionalFormatting>
  <conditionalFormatting sqref="F37:F39">
    <cfRule type="dataBar" priority="309">
      <dataBar>
        <cfvo type="num" val="0"/>
        <cfvo type="num" val="150"/>
        <color theme="9" tint="-0.249977111117893"/>
      </dataBar>
      <extLst>
        <ext xmlns:x14="http://schemas.microsoft.com/office/spreadsheetml/2009/9/main" uri="{B025F937-C7B1-47D3-B67F-A62EFF666E3E}">
          <x14:id>{19AED7F5-E671-49C8-932B-881FFC526805}</x14:id>
        </ext>
      </extLst>
    </cfRule>
    <cfRule type="dataBar" priority="312">
      <dataBar>
        <cfvo type="num" val="0"/>
        <cfvo type="num" val="150"/>
        <color theme="9" tint="0.39997558519241921"/>
      </dataBar>
      <extLst>
        <ext xmlns:x14="http://schemas.microsoft.com/office/spreadsheetml/2009/9/main" uri="{B025F937-C7B1-47D3-B67F-A62EFF666E3E}">
          <x14:id>{3A3AF290-B2D0-46AE-B64D-49B9668BCC4F}</x14:id>
        </ext>
      </extLst>
    </cfRule>
    <cfRule type="dataBar" priority="313">
      <dataBar>
        <cfvo type="min"/>
        <cfvo type="num" val="150"/>
        <color theme="9" tint="0.39997558519241921"/>
      </dataBar>
      <extLst>
        <ext xmlns:x14="http://schemas.microsoft.com/office/spreadsheetml/2009/9/main" uri="{B025F937-C7B1-47D3-B67F-A62EFF666E3E}">
          <x14:id>{32855793-8A09-4CBB-A3A4-CAB795BA13BA}</x14:id>
        </ext>
      </extLst>
    </cfRule>
  </conditionalFormatting>
  <conditionalFormatting sqref="J4:J10">
    <cfRule type="dataBar" priority="371">
      <dataBar>
        <cfvo type="num" val="0"/>
        <cfvo type="num" val="150"/>
        <color theme="8" tint="-0.249977111117893"/>
      </dataBar>
      <extLst>
        <ext xmlns:x14="http://schemas.microsoft.com/office/spreadsheetml/2009/9/main" uri="{B025F937-C7B1-47D3-B67F-A62EFF666E3E}">
          <x14:id>{BA5F036C-AD3F-4647-AA4B-FC59C2E74C8C}</x14:id>
        </ext>
      </extLst>
    </cfRule>
    <cfRule type="dataBar" priority="374">
      <dataBar>
        <cfvo type="num" val="0"/>
        <cfvo type="num" val="150"/>
        <color theme="4" tint="-0.249977111117893"/>
      </dataBar>
      <extLst>
        <ext xmlns:x14="http://schemas.microsoft.com/office/spreadsheetml/2009/9/main" uri="{B025F937-C7B1-47D3-B67F-A62EFF666E3E}">
          <x14:id>{A05681F2-717F-4172-A26F-74C76458B70B}</x14:id>
        </ext>
      </extLst>
    </cfRule>
    <cfRule type="dataBar" priority="378">
      <dataBar>
        <cfvo type="min"/>
        <cfvo type="num" val="150"/>
        <color rgb="FF638EC6"/>
      </dataBar>
      <extLst>
        <ext xmlns:x14="http://schemas.microsoft.com/office/spreadsheetml/2009/9/main" uri="{B025F937-C7B1-47D3-B67F-A62EFF666E3E}">
          <x14:id>{A1EA81F8-D948-4797-88C7-CEC3CA542CAB}</x14:id>
        </ext>
      </extLst>
    </cfRule>
    <cfRule type="dataBar" priority="3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{A9D6E9DD-7350-4365-9044-3DB55B811F4A}</x14:id>
        </ext>
      </extLst>
    </cfRule>
  </conditionalFormatting>
  <conditionalFormatting sqref="J4:J19">
    <cfRule type="iconSet" priority="380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J11:J16">
    <cfRule type="dataBar" priority="373">
      <dataBar>
        <cfvo type="num" val="0"/>
        <cfvo type="num" val="150"/>
        <color theme="5" tint="-0.249977111117893"/>
      </dataBar>
      <extLst>
        <ext xmlns:x14="http://schemas.microsoft.com/office/spreadsheetml/2009/9/main" uri="{B025F937-C7B1-47D3-B67F-A62EFF666E3E}">
          <x14:id>{A4D4D39A-1666-427F-A8A1-3E9F133BC03D}</x14:id>
        </ext>
      </extLst>
    </cfRule>
    <cfRule type="dataBar" priority="377">
      <dataBar>
        <cfvo type="min"/>
        <cfvo type="num" val="150"/>
        <color theme="5" tint="0.59999389629810485"/>
      </dataBar>
      <extLst>
        <ext xmlns:x14="http://schemas.microsoft.com/office/spreadsheetml/2009/9/main" uri="{B025F937-C7B1-47D3-B67F-A62EFF666E3E}">
          <x14:id>{5A24DF7F-8476-4D26-AE4D-355DFC2C0B74}</x14:id>
        </ext>
      </extLst>
    </cfRule>
  </conditionalFormatting>
  <conditionalFormatting sqref="J17:J19">
    <cfRule type="dataBar" priority="372">
      <dataBar>
        <cfvo type="num" val="0"/>
        <cfvo type="num" val="150"/>
        <color theme="9" tint="-0.249977111117893"/>
      </dataBar>
      <extLst>
        <ext xmlns:x14="http://schemas.microsoft.com/office/spreadsheetml/2009/9/main" uri="{B025F937-C7B1-47D3-B67F-A62EFF666E3E}">
          <x14:id>{D9E0481F-D3E6-4244-B3EB-87E1D160E2D7}</x14:id>
        </ext>
      </extLst>
    </cfRule>
    <cfRule type="dataBar" priority="375">
      <dataBar>
        <cfvo type="num" val="0"/>
        <cfvo type="num" val="150"/>
        <color theme="9" tint="0.39997558519241921"/>
      </dataBar>
      <extLst>
        <ext xmlns:x14="http://schemas.microsoft.com/office/spreadsheetml/2009/9/main" uri="{B025F937-C7B1-47D3-B67F-A62EFF666E3E}">
          <x14:id>{EF31E235-ACA4-441E-AAE3-D7206F0655CB}</x14:id>
        </ext>
      </extLst>
    </cfRule>
    <cfRule type="dataBar" priority="376">
      <dataBar>
        <cfvo type="min"/>
        <cfvo type="num" val="150"/>
        <color theme="9" tint="0.39997558519241921"/>
      </dataBar>
      <extLst>
        <ext xmlns:x14="http://schemas.microsoft.com/office/spreadsheetml/2009/9/main" uri="{B025F937-C7B1-47D3-B67F-A62EFF666E3E}">
          <x14:id>{AAE6CEF5-0454-43B1-A536-4DAE42BA8D08}</x14:id>
        </ext>
      </extLst>
    </cfRule>
  </conditionalFormatting>
  <conditionalFormatting sqref="J24:J30">
    <cfRule type="dataBar" priority="328">
      <dataBar>
        <cfvo type="num" val="0"/>
        <cfvo type="num" val="150"/>
        <color theme="8" tint="-0.249977111117893"/>
      </dataBar>
      <extLst>
        <ext xmlns:x14="http://schemas.microsoft.com/office/spreadsheetml/2009/9/main" uri="{B025F937-C7B1-47D3-B67F-A62EFF666E3E}">
          <x14:id>{7A67D67D-55BB-47C6-88FA-C4C8E51CE0FC}</x14:id>
        </ext>
      </extLst>
    </cfRule>
    <cfRule type="dataBar" priority="331">
      <dataBar>
        <cfvo type="num" val="0"/>
        <cfvo type="num" val="150"/>
        <color theme="4" tint="-0.249977111117893"/>
      </dataBar>
      <extLst>
        <ext xmlns:x14="http://schemas.microsoft.com/office/spreadsheetml/2009/9/main" uri="{B025F937-C7B1-47D3-B67F-A62EFF666E3E}">
          <x14:id>{6617DDE7-1ACE-483A-9D35-F3AFEDDDE460}</x14:id>
        </ext>
      </extLst>
    </cfRule>
    <cfRule type="dataBar" priority="335">
      <dataBar>
        <cfvo type="min"/>
        <cfvo type="num" val="150"/>
        <color rgb="FF638EC6"/>
      </dataBar>
      <extLst>
        <ext xmlns:x14="http://schemas.microsoft.com/office/spreadsheetml/2009/9/main" uri="{B025F937-C7B1-47D3-B67F-A62EFF666E3E}">
          <x14:id>{D04AB66B-9639-4CA9-A9CB-EAE17649C582}</x14:id>
        </ext>
      </extLst>
    </cfRule>
    <cfRule type="dataBar" priority="3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{A21045B2-BA6A-4F2B-936F-B51FB5686C40}</x14:id>
        </ext>
      </extLst>
    </cfRule>
  </conditionalFormatting>
  <conditionalFormatting sqref="J24:J39">
    <cfRule type="iconSet" priority="337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J31:J36">
    <cfRule type="dataBar" priority="330">
      <dataBar>
        <cfvo type="num" val="0"/>
        <cfvo type="num" val="150"/>
        <color theme="5" tint="-0.249977111117893"/>
      </dataBar>
      <extLst>
        <ext xmlns:x14="http://schemas.microsoft.com/office/spreadsheetml/2009/9/main" uri="{B025F937-C7B1-47D3-B67F-A62EFF666E3E}">
          <x14:id>{6118D727-0B4F-445A-A320-821D53108DB9}</x14:id>
        </ext>
      </extLst>
    </cfRule>
    <cfRule type="dataBar" priority="334">
      <dataBar>
        <cfvo type="min"/>
        <cfvo type="num" val="150"/>
        <color theme="5" tint="0.59999389629810485"/>
      </dataBar>
      <extLst>
        <ext xmlns:x14="http://schemas.microsoft.com/office/spreadsheetml/2009/9/main" uri="{B025F937-C7B1-47D3-B67F-A62EFF666E3E}">
          <x14:id>{533A6DB6-C97D-42CC-BC2A-C88341430D76}</x14:id>
        </ext>
      </extLst>
    </cfRule>
  </conditionalFormatting>
  <conditionalFormatting sqref="J37:J39">
    <cfRule type="dataBar" priority="329">
      <dataBar>
        <cfvo type="num" val="0"/>
        <cfvo type="num" val="150"/>
        <color theme="9" tint="-0.249977111117893"/>
      </dataBar>
      <extLst>
        <ext xmlns:x14="http://schemas.microsoft.com/office/spreadsheetml/2009/9/main" uri="{B025F937-C7B1-47D3-B67F-A62EFF666E3E}">
          <x14:id>{A3D02A62-88A6-43D0-BF5B-4AF4F391C969}</x14:id>
        </ext>
      </extLst>
    </cfRule>
    <cfRule type="dataBar" priority="332">
      <dataBar>
        <cfvo type="num" val="0"/>
        <cfvo type="num" val="150"/>
        <color theme="9" tint="0.39997558519241921"/>
      </dataBar>
      <extLst>
        <ext xmlns:x14="http://schemas.microsoft.com/office/spreadsheetml/2009/9/main" uri="{B025F937-C7B1-47D3-B67F-A62EFF666E3E}">
          <x14:id>{A372058C-C1A4-471F-891D-D451E4CEF4DB}</x14:id>
        </ext>
      </extLst>
    </cfRule>
    <cfRule type="dataBar" priority="333">
      <dataBar>
        <cfvo type="min"/>
        <cfvo type="num" val="150"/>
        <color theme="9" tint="0.39997558519241921"/>
      </dataBar>
      <extLst>
        <ext xmlns:x14="http://schemas.microsoft.com/office/spreadsheetml/2009/9/main" uri="{B025F937-C7B1-47D3-B67F-A62EFF666E3E}">
          <x14:id>{51640A77-5221-4CE0-9C49-1D489CA417DB}</x14:id>
        </ext>
      </extLst>
    </cfRule>
  </conditionalFormatting>
  <conditionalFormatting sqref="N4:N10">
    <cfRule type="dataBar" priority="361">
      <dataBar>
        <cfvo type="num" val="0"/>
        <cfvo type="num" val="150"/>
        <color theme="8" tint="-0.249977111117893"/>
      </dataBar>
      <extLst>
        <ext xmlns:x14="http://schemas.microsoft.com/office/spreadsheetml/2009/9/main" uri="{B025F937-C7B1-47D3-B67F-A62EFF666E3E}">
          <x14:id>{8E25E447-87AF-4FB0-9B37-55AE7578B3F4}</x14:id>
        </ext>
      </extLst>
    </cfRule>
    <cfRule type="dataBar" priority="364">
      <dataBar>
        <cfvo type="num" val="0"/>
        <cfvo type="num" val="150"/>
        <color theme="4" tint="-0.249977111117893"/>
      </dataBar>
      <extLst>
        <ext xmlns:x14="http://schemas.microsoft.com/office/spreadsheetml/2009/9/main" uri="{B025F937-C7B1-47D3-B67F-A62EFF666E3E}">
          <x14:id>{45282BFC-5673-4F94-852D-273C5D4FF576}</x14:id>
        </ext>
      </extLst>
    </cfRule>
    <cfRule type="dataBar" priority="368">
      <dataBar>
        <cfvo type="min"/>
        <cfvo type="num" val="150"/>
        <color rgb="FF638EC6"/>
      </dataBar>
      <extLst>
        <ext xmlns:x14="http://schemas.microsoft.com/office/spreadsheetml/2009/9/main" uri="{B025F937-C7B1-47D3-B67F-A62EFF666E3E}">
          <x14:id>{F304E3DF-2ACE-4E7F-8999-5844CD27B6E1}</x14:id>
        </ext>
      </extLst>
    </cfRule>
    <cfRule type="dataBar" priority="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{1BB91D55-AE7F-406D-B287-76D22042994E}</x14:id>
        </ext>
      </extLst>
    </cfRule>
  </conditionalFormatting>
  <conditionalFormatting sqref="N4:N19">
    <cfRule type="iconSet" priority="370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N11:N16">
    <cfRule type="dataBar" priority="363">
      <dataBar>
        <cfvo type="num" val="0"/>
        <cfvo type="num" val="150"/>
        <color theme="5" tint="-0.249977111117893"/>
      </dataBar>
      <extLst>
        <ext xmlns:x14="http://schemas.microsoft.com/office/spreadsheetml/2009/9/main" uri="{B025F937-C7B1-47D3-B67F-A62EFF666E3E}">
          <x14:id>{04D620AA-AB16-4E6F-97D7-A74C9A9D39D3}</x14:id>
        </ext>
      </extLst>
    </cfRule>
    <cfRule type="dataBar" priority="367">
      <dataBar>
        <cfvo type="min"/>
        <cfvo type="num" val="150"/>
        <color theme="5" tint="0.59999389629810485"/>
      </dataBar>
      <extLst>
        <ext xmlns:x14="http://schemas.microsoft.com/office/spreadsheetml/2009/9/main" uri="{B025F937-C7B1-47D3-B67F-A62EFF666E3E}">
          <x14:id>{AF606D69-D0F2-4A84-AC51-F9EE7AFB6C0B}</x14:id>
        </ext>
      </extLst>
    </cfRule>
  </conditionalFormatting>
  <conditionalFormatting sqref="N17:N19">
    <cfRule type="dataBar" priority="362">
      <dataBar>
        <cfvo type="num" val="0"/>
        <cfvo type="num" val="150"/>
        <color theme="9" tint="-0.249977111117893"/>
      </dataBar>
      <extLst>
        <ext xmlns:x14="http://schemas.microsoft.com/office/spreadsheetml/2009/9/main" uri="{B025F937-C7B1-47D3-B67F-A62EFF666E3E}">
          <x14:id>{F003194C-B018-4AA7-90E3-A090D27C97DB}</x14:id>
        </ext>
      </extLst>
    </cfRule>
    <cfRule type="dataBar" priority="365">
      <dataBar>
        <cfvo type="num" val="0"/>
        <cfvo type="num" val="150"/>
        <color theme="9" tint="0.39997558519241921"/>
      </dataBar>
      <extLst>
        <ext xmlns:x14="http://schemas.microsoft.com/office/spreadsheetml/2009/9/main" uri="{B025F937-C7B1-47D3-B67F-A62EFF666E3E}">
          <x14:id>{4FB56B6F-F46B-4C6E-91BF-CE26CBE29CA1}</x14:id>
        </ext>
      </extLst>
    </cfRule>
    <cfRule type="dataBar" priority="366">
      <dataBar>
        <cfvo type="min"/>
        <cfvo type="num" val="150"/>
        <color theme="9" tint="0.39997558519241921"/>
      </dataBar>
      <extLst>
        <ext xmlns:x14="http://schemas.microsoft.com/office/spreadsheetml/2009/9/main" uri="{B025F937-C7B1-47D3-B67F-A62EFF666E3E}">
          <x14:id>{8097911A-8300-482D-AB72-5FB9A07CF2D9}</x14:id>
        </ext>
      </extLst>
    </cfRule>
  </conditionalFormatting>
  <conditionalFormatting sqref="N24:N30">
    <cfRule type="dataBar" priority="318">
      <dataBar>
        <cfvo type="num" val="0"/>
        <cfvo type="num" val="150"/>
        <color theme="8" tint="-0.249977111117893"/>
      </dataBar>
      <extLst>
        <ext xmlns:x14="http://schemas.microsoft.com/office/spreadsheetml/2009/9/main" uri="{B025F937-C7B1-47D3-B67F-A62EFF666E3E}">
          <x14:id>{DA4592F8-93B9-44CD-A689-5B8B4FFD3F6F}</x14:id>
        </ext>
      </extLst>
    </cfRule>
    <cfRule type="dataBar" priority="321">
      <dataBar>
        <cfvo type="num" val="0"/>
        <cfvo type="num" val="150"/>
        <color theme="4" tint="-0.249977111117893"/>
      </dataBar>
      <extLst>
        <ext xmlns:x14="http://schemas.microsoft.com/office/spreadsheetml/2009/9/main" uri="{B025F937-C7B1-47D3-B67F-A62EFF666E3E}">
          <x14:id>{2AC6FA96-418C-4000-A14C-CDD8A7ABDC1C}</x14:id>
        </ext>
      </extLst>
    </cfRule>
    <cfRule type="dataBar" priority="325">
      <dataBar>
        <cfvo type="min"/>
        <cfvo type="num" val="150"/>
        <color rgb="FF638EC6"/>
      </dataBar>
      <extLst>
        <ext xmlns:x14="http://schemas.microsoft.com/office/spreadsheetml/2009/9/main" uri="{B025F937-C7B1-47D3-B67F-A62EFF666E3E}">
          <x14:id>{B56DA2B8-29E7-4A9D-A8DB-F07C8337CEE5}</x14:id>
        </ext>
      </extLst>
    </cfRule>
    <cfRule type="dataBar" priority="3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{56CFE8B5-6668-4021-AE4D-5492EF7DBB8C}</x14:id>
        </ext>
      </extLst>
    </cfRule>
  </conditionalFormatting>
  <conditionalFormatting sqref="N24:N39">
    <cfRule type="iconSet" priority="327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N31:N36">
    <cfRule type="dataBar" priority="320">
      <dataBar>
        <cfvo type="num" val="0"/>
        <cfvo type="num" val="150"/>
        <color theme="5" tint="-0.249977111117893"/>
      </dataBar>
      <extLst>
        <ext xmlns:x14="http://schemas.microsoft.com/office/spreadsheetml/2009/9/main" uri="{B025F937-C7B1-47D3-B67F-A62EFF666E3E}">
          <x14:id>{C6C2A1F7-90A2-40C4-BC4A-84939AA715AC}</x14:id>
        </ext>
      </extLst>
    </cfRule>
    <cfRule type="dataBar" priority="324">
      <dataBar>
        <cfvo type="min"/>
        <cfvo type="num" val="150"/>
        <color theme="5" tint="0.59999389629810485"/>
      </dataBar>
      <extLst>
        <ext xmlns:x14="http://schemas.microsoft.com/office/spreadsheetml/2009/9/main" uri="{B025F937-C7B1-47D3-B67F-A62EFF666E3E}">
          <x14:id>{C63A03CD-DD22-4E95-85AE-F200037F33B0}</x14:id>
        </ext>
      </extLst>
    </cfRule>
  </conditionalFormatting>
  <conditionalFormatting sqref="N37:N39">
    <cfRule type="dataBar" priority="319">
      <dataBar>
        <cfvo type="num" val="0"/>
        <cfvo type="num" val="150"/>
        <color theme="9" tint="-0.249977111117893"/>
      </dataBar>
      <extLst>
        <ext xmlns:x14="http://schemas.microsoft.com/office/spreadsheetml/2009/9/main" uri="{B025F937-C7B1-47D3-B67F-A62EFF666E3E}">
          <x14:id>{A52E3BC9-9BB6-493C-A329-273DE0E691BD}</x14:id>
        </ext>
      </extLst>
    </cfRule>
    <cfRule type="dataBar" priority="322">
      <dataBar>
        <cfvo type="num" val="0"/>
        <cfvo type="num" val="150"/>
        <color theme="9" tint="0.39997558519241921"/>
      </dataBar>
      <extLst>
        <ext xmlns:x14="http://schemas.microsoft.com/office/spreadsheetml/2009/9/main" uri="{B025F937-C7B1-47D3-B67F-A62EFF666E3E}">
          <x14:id>{E8293055-BDA2-45A1-92C3-FA973E009FA0}</x14:id>
        </ext>
      </extLst>
    </cfRule>
    <cfRule type="dataBar" priority="323">
      <dataBar>
        <cfvo type="min"/>
        <cfvo type="num" val="150"/>
        <color theme="9" tint="0.39997558519241921"/>
      </dataBar>
      <extLst>
        <ext xmlns:x14="http://schemas.microsoft.com/office/spreadsheetml/2009/9/main" uri="{B025F937-C7B1-47D3-B67F-A62EFF666E3E}">
          <x14:id>{F0EF683F-305B-421B-A1EE-AD0C79D340E1}</x14:id>
        </ext>
      </extLst>
    </cfRule>
  </conditionalFormatting>
  <conditionalFormatting sqref="A44:B59 D44:F59 H44:J59 L44:N59">
    <cfRule type="iconSet" priority="138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B44:B50">
    <cfRule type="dataBar" priority="169">
      <dataBar>
        <cfvo type="num" val="0"/>
        <cfvo type="num" val="150"/>
        <color theme="8" tint="-0.249977111117893"/>
      </dataBar>
      <extLst>
        <ext xmlns:x14="http://schemas.microsoft.com/office/spreadsheetml/2009/9/main" uri="{B025F937-C7B1-47D3-B67F-A62EFF666E3E}">
          <x14:id>{F9BBA742-C11B-4EFE-BF63-E9C9A25C9947}</x14:id>
        </ext>
      </extLst>
    </cfRule>
    <cfRule type="dataBar" priority="172">
      <dataBar>
        <cfvo type="num" val="0"/>
        <cfvo type="num" val="150"/>
        <color theme="4" tint="-0.249977111117893"/>
      </dataBar>
      <extLst>
        <ext xmlns:x14="http://schemas.microsoft.com/office/spreadsheetml/2009/9/main" uri="{B025F937-C7B1-47D3-B67F-A62EFF666E3E}">
          <x14:id>{0A0EDB28-447C-4D5C-9C0C-D46F42E0B097}</x14:id>
        </ext>
      </extLst>
    </cfRule>
    <cfRule type="dataBar" priority="176">
      <dataBar>
        <cfvo type="min"/>
        <cfvo type="num" val="150"/>
        <color rgb="FF638EC6"/>
      </dataBar>
      <extLst>
        <ext xmlns:x14="http://schemas.microsoft.com/office/spreadsheetml/2009/9/main" uri="{B025F937-C7B1-47D3-B67F-A62EFF666E3E}">
          <x14:id>{2995122A-C01B-49A3-8B8B-C1F608A71D12}</x14:id>
        </ext>
      </extLst>
    </cfRule>
    <cfRule type="dataBar" priority="1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{605A6F44-3248-45AF-A02C-3EB2FF67C52E}</x14:id>
        </ext>
      </extLst>
    </cfRule>
  </conditionalFormatting>
  <conditionalFormatting sqref="B44:B59">
    <cfRule type="iconSet" priority="178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B51:B56">
    <cfRule type="dataBar" priority="171">
      <dataBar>
        <cfvo type="num" val="0"/>
        <cfvo type="num" val="150"/>
        <color theme="5" tint="-0.249977111117893"/>
      </dataBar>
      <extLst>
        <ext xmlns:x14="http://schemas.microsoft.com/office/spreadsheetml/2009/9/main" uri="{B025F937-C7B1-47D3-B67F-A62EFF666E3E}">
          <x14:id>{40E92304-1325-4826-BDCA-D00820AF01AF}</x14:id>
        </ext>
      </extLst>
    </cfRule>
    <cfRule type="dataBar" priority="175">
      <dataBar>
        <cfvo type="min"/>
        <cfvo type="num" val="150"/>
        <color theme="5" tint="0.59999389629810485"/>
      </dataBar>
      <extLst>
        <ext xmlns:x14="http://schemas.microsoft.com/office/spreadsheetml/2009/9/main" uri="{B025F937-C7B1-47D3-B67F-A62EFF666E3E}">
          <x14:id>{63EE8774-B4DE-42D0-9BB3-4EBF952C2B82}</x14:id>
        </ext>
      </extLst>
    </cfRule>
  </conditionalFormatting>
  <conditionalFormatting sqref="B57:B59">
    <cfRule type="dataBar" priority="170">
      <dataBar>
        <cfvo type="num" val="0"/>
        <cfvo type="num" val="150"/>
        <color theme="9" tint="-0.249977111117893"/>
      </dataBar>
      <extLst>
        <ext xmlns:x14="http://schemas.microsoft.com/office/spreadsheetml/2009/9/main" uri="{B025F937-C7B1-47D3-B67F-A62EFF666E3E}">
          <x14:id>{44AA159D-DB00-4292-B5D5-2A6B5CD23050}</x14:id>
        </ext>
      </extLst>
    </cfRule>
    <cfRule type="dataBar" priority="173">
      <dataBar>
        <cfvo type="num" val="0"/>
        <cfvo type="num" val="150"/>
        <color theme="9" tint="0.39997558519241921"/>
      </dataBar>
      <extLst>
        <ext xmlns:x14="http://schemas.microsoft.com/office/spreadsheetml/2009/9/main" uri="{B025F937-C7B1-47D3-B67F-A62EFF666E3E}">
          <x14:id>{2BAB74DF-72AE-4DA0-B381-37D3CC965B58}</x14:id>
        </ext>
      </extLst>
    </cfRule>
    <cfRule type="dataBar" priority="174">
      <dataBar>
        <cfvo type="min"/>
        <cfvo type="num" val="150"/>
        <color theme="9" tint="0.39997558519241921"/>
      </dataBar>
      <extLst>
        <ext xmlns:x14="http://schemas.microsoft.com/office/spreadsheetml/2009/9/main" uri="{B025F937-C7B1-47D3-B67F-A62EFF666E3E}">
          <x14:id>{E3F7E242-07B8-4A9A-8E3F-841C6E8D984F}</x14:id>
        </ext>
      </extLst>
    </cfRule>
  </conditionalFormatting>
  <conditionalFormatting sqref="F44:F50">
    <cfRule type="dataBar" priority="139">
      <dataBar>
        <cfvo type="num" val="0"/>
        <cfvo type="num" val="150"/>
        <color theme="8" tint="-0.249977111117893"/>
      </dataBar>
      <extLst>
        <ext xmlns:x14="http://schemas.microsoft.com/office/spreadsheetml/2009/9/main" uri="{B025F937-C7B1-47D3-B67F-A62EFF666E3E}">
          <x14:id>{AECCBD4F-A8F5-4A41-A12C-7B77EC084FE0}</x14:id>
        </ext>
      </extLst>
    </cfRule>
    <cfRule type="dataBar" priority="142">
      <dataBar>
        <cfvo type="num" val="0"/>
        <cfvo type="num" val="150"/>
        <color theme="4" tint="-0.249977111117893"/>
      </dataBar>
      <extLst>
        <ext xmlns:x14="http://schemas.microsoft.com/office/spreadsheetml/2009/9/main" uri="{B025F937-C7B1-47D3-B67F-A62EFF666E3E}">
          <x14:id>{1861CE5C-DD51-4A60-BC46-3E3C296AA7EC}</x14:id>
        </ext>
      </extLst>
    </cfRule>
    <cfRule type="dataBar" priority="146">
      <dataBar>
        <cfvo type="min"/>
        <cfvo type="num" val="150"/>
        <color rgb="FF638EC6"/>
      </dataBar>
      <extLst>
        <ext xmlns:x14="http://schemas.microsoft.com/office/spreadsheetml/2009/9/main" uri="{B025F937-C7B1-47D3-B67F-A62EFF666E3E}">
          <x14:id>{73EF0062-1082-475A-AB03-7978CC87E224}</x14:id>
        </ext>
      </extLst>
    </cfRule>
    <cfRule type="dataBar" priority="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{B8139EE7-AD4E-468A-BDBD-7DEC3024C476}</x14:id>
        </ext>
      </extLst>
    </cfRule>
  </conditionalFormatting>
  <conditionalFormatting sqref="F44:F59">
    <cfRule type="iconSet" priority="148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F51:F56">
    <cfRule type="dataBar" priority="141">
      <dataBar>
        <cfvo type="num" val="0"/>
        <cfvo type="num" val="150"/>
        <color theme="5" tint="-0.249977111117893"/>
      </dataBar>
      <extLst>
        <ext xmlns:x14="http://schemas.microsoft.com/office/spreadsheetml/2009/9/main" uri="{B025F937-C7B1-47D3-B67F-A62EFF666E3E}">
          <x14:id>{A92AD765-A954-46BA-B3E1-61DEAD1B976A}</x14:id>
        </ext>
      </extLst>
    </cfRule>
    <cfRule type="dataBar" priority="145">
      <dataBar>
        <cfvo type="min"/>
        <cfvo type="num" val="150"/>
        <color theme="5" tint="0.59999389629810485"/>
      </dataBar>
      <extLst>
        <ext xmlns:x14="http://schemas.microsoft.com/office/spreadsheetml/2009/9/main" uri="{B025F937-C7B1-47D3-B67F-A62EFF666E3E}">
          <x14:id>{522363DE-B63D-4861-8701-C2C09D18436F}</x14:id>
        </ext>
      </extLst>
    </cfRule>
  </conditionalFormatting>
  <conditionalFormatting sqref="F57:F59">
    <cfRule type="dataBar" priority="140">
      <dataBar>
        <cfvo type="num" val="0"/>
        <cfvo type="num" val="150"/>
        <color theme="9" tint="-0.249977111117893"/>
      </dataBar>
      <extLst>
        <ext xmlns:x14="http://schemas.microsoft.com/office/spreadsheetml/2009/9/main" uri="{B025F937-C7B1-47D3-B67F-A62EFF666E3E}">
          <x14:id>{9BBF9F5C-2FC8-4894-A66C-52C22C45A1E7}</x14:id>
        </ext>
      </extLst>
    </cfRule>
    <cfRule type="dataBar" priority="143">
      <dataBar>
        <cfvo type="num" val="0"/>
        <cfvo type="num" val="150"/>
        <color theme="9" tint="0.39997558519241921"/>
      </dataBar>
      <extLst>
        <ext xmlns:x14="http://schemas.microsoft.com/office/spreadsheetml/2009/9/main" uri="{B025F937-C7B1-47D3-B67F-A62EFF666E3E}">
          <x14:id>{E0FE55F2-230F-4489-94D0-5F5FC681EF55}</x14:id>
        </ext>
      </extLst>
    </cfRule>
    <cfRule type="dataBar" priority="144">
      <dataBar>
        <cfvo type="min"/>
        <cfvo type="num" val="150"/>
        <color theme="9" tint="0.39997558519241921"/>
      </dataBar>
      <extLst>
        <ext xmlns:x14="http://schemas.microsoft.com/office/spreadsheetml/2009/9/main" uri="{B025F937-C7B1-47D3-B67F-A62EFF666E3E}">
          <x14:id>{7AC24A3C-97EB-4B09-AE68-6208C4DDB1B4}</x14:id>
        </ext>
      </extLst>
    </cfRule>
  </conditionalFormatting>
  <conditionalFormatting sqref="J44:J50">
    <cfRule type="dataBar" priority="159">
      <dataBar>
        <cfvo type="num" val="0"/>
        <cfvo type="num" val="150"/>
        <color theme="8" tint="-0.249977111117893"/>
      </dataBar>
      <extLst>
        <ext xmlns:x14="http://schemas.microsoft.com/office/spreadsheetml/2009/9/main" uri="{B025F937-C7B1-47D3-B67F-A62EFF666E3E}">
          <x14:id>{6C8A2E50-411C-426A-81A2-5FFBC3CB1514}</x14:id>
        </ext>
      </extLst>
    </cfRule>
    <cfRule type="dataBar" priority="162">
      <dataBar>
        <cfvo type="num" val="0"/>
        <cfvo type="num" val="150"/>
        <color theme="4" tint="-0.249977111117893"/>
      </dataBar>
      <extLst>
        <ext xmlns:x14="http://schemas.microsoft.com/office/spreadsheetml/2009/9/main" uri="{B025F937-C7B1-47D3-B67F-A62EFF666E3E}">
          <x14:id>{2E913563-294B-45D6-9880-932CC9C80D1B}</x14:id>
        </ext>
      </extLst>
    </cfRule>
    <cfRule type="dataBar" priority="166">
      <dataBar>
        <cfvo type="min"/>
        <cfvo type="num" val="150"/>
        <color rgb="FF638EC6"/>
      </dataBar>
      <extLst>
        <ext xmlns:x14="http://schemas.microsoft.com/office/spreadsheetml/2009/9/main" uri="{B025F937-C7B1-47D3-B67F-A62EFF666E3E}">
          <x14:id>{D3A0E29C-0064-492A-8EF1-F3E967B5FC89}</x14:id>
        </ext>
      </extLst>
    </cfRule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{5A40B6E5-17B9-4D91-8EB5-B232FAAB6BF8}</x14:id>
        </ext>
      </extLst>
    </cfRule>
  </conditionalFormatting>
  <conditionalFormatting sqref="J44:J59">
    <cfRule type="iconSet" priority="168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J51:J56">
    <cfRule type="dataBar" priority="161">
      <dataBar>
        <cfvo type="num" val="0"/>
        <cfvo type="num" val="150"/>
        <color theme="5" tint="-0.249977111117893"/>
      </dataBar>
      <extLst>
        <ext xmlns:x14="http://schemas.microsoft.com/office/spreadsheetml/2009/9/main" uri="{B025F937-C7B1-47D3-B67F-A62EFF666E3E}">
          <x14:id>{0C41ADEB-062A-4BE1-97E5-9221ADB48F5C}</x14:id>
        </ext>
      </extLst>
    </cfRule>
    <cfRule type="dataBar" priority="165">
      <dataBar>
        <cfvo type="min"/>
        <cfvo type="num" val="150"/>
        <color theme="5" tint="0.59999389629810485"/>
      </dataBar>
      <extLst>
        <ext xmlns:x14="http://schemas.microsoft.com/office/spreadsheetml/2009/9/main" uri="{B025F937-C7B1-47D3-B67F-A62EFF666E3E}">
          <x14:id>{3DD39D34-D153-4B80-BA47-FB6A3F735F90}</x14:id>
        </ext>
      </extLst>
    </cfRule>
  </conditionalFormatting>
  <conditionalFormatting sqref="J57:J59">
    <cfRule type="dataBar" priority="160">
      <dataBar>
        <cfvo type="num" val="0"/>
        <cfvo type="num" val="150"/>
        <color theme="9" tint="-0.249977111117893"/>
      </dataBar>
      <extLst>
        <ext xmlns:x14="http://schemas.microsoft.com/office/spreadsheetml/2009/9/main" uri="{B025F937-C7B1-47D3-B67F-A62EFF666E3E}">
          <x14:id>{90CEEF6C-9441-4FEB-828A-D4B34C0845D6}</x14:id>
        </ext>
      </extLst>
    </cfRule>
    <cfRule type="dataBar" priority="163">
      <dataBar>
        <cfvo type="num" val="0"/>
        <cfvo type="num" val="150"/>
        <color theme="9" tint="0.39997558519241921"/>
      </dataBar>
      <extLst>
        <ext xmlns:x14="http://schemas.microsoft.com/office/spreadsheetml/2009/9/main" uri="{B025F937-C7B1-47D3-B67F-A62EFF666E3E}">
          <x14:id>{97411373-F95A-49E5-816F-51570F281143}</x14:id>
        </ext>
      </extLst>
    </cfRule>
    <cfRule type="dataBar" priority="164">
      <dataBar>
        <cfvo type="min"/>
        <cfvo type="num" val="150"/>
        <color theme="9" tint="0.39997558519241921"/>
      </dataBar>
      <extLst>
        <ext xmlns:x14="http://schemas.microsoft.com/office/spreadsheetml/2009/9/main" uri="{B025F937-C7B1-47D3-B67F-A62EFF666E3E}">
          <x14:id>{DF5F5FC5-A23F-4ECF-A68C-B4C002B4E11C}</x14:id>
        </ext>
      </extLst>
    </cfRule>
  </conditionalFormatting>
  <conditionalFormatting sqref="N44:N50">
    <cfRule type="dataBar" priority="149">
      <dataBar>
        <cfvo type="num" val="0"/>
        <cfvo type="num" val="150"/>
        <color theme="8" tint="-0.249977111117893"/>
      </dataBar>
      <extLst>
        <ext xmlns:x14="http://schemas.microsoft.com/office/spreadsheetml/2009/9/main" uri="{B025F937-C7B1-47D3-B67F-A62EFF666E3E}">
          <x14:id>{AE10B92C-079B-4B18-AB39-D991BE6B402E}</x14:id>
        </ext>
      </extLst>
    </cfRule>
    <cfRule type="dataBar" priority="152">
      <dataBar>
        <cfvo type="num" val="0"/>
        <cfvo type="num" val="150"/>
        <color theme="4" tint="-0.249977111117893"/>
      </dataBar>
      <extLst>
        <ext xmlns:x14="http://schemas.microsoft.com/office/spreadsheetml/2009/9/main" uri="{B025F937-C7B1-47D3-B67F-A62EFF666E3E}">
          <x14:id>{1C46E721-12EF-4CD0-8D84-461ABC82826B}</x14:id>
        </ext>
      </extLst>
    </cfRule>
    <cfRule type="dataBar" priority="156">
      <dataBar>
        <cfvo type="min"/>
        <cfvo type="num" val="150"/>
        <color rgb="FF638EC6"/>
      </dataBar>
      <extLst>
        <ext xmlns:x14="http://schemas.microsoft.com/office/spreadsheetml/2009/9/main" uri="{B025F937-C7B1-47D3-B67F-A62EFF666E3E}">
          <x14:id>{AC1A3142-F20C-4BF3-A3FD-A59F142CF560}</x14:id>
        </ext>
      </extLst>
    </cfRule>
    <cfRule type="dataBar" priority="1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{5536BEE2-C198-4085-B54A-8621FEC534D8}</x14:id>
        </ext>
      </extLst>
    </cfRule>
  </conditionalFormatting>
  <conditionalFormatting sqref="N44:N59">
    <cfRule type="iconSet" priority="158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N51:N56">
    <cfRule type="dataBar" priority="151">
      <dataBar>
        <cfvo type="num" val="0"/>
        <cfvo type="num" val="150"/>
        <color theme="5" tint="-0.249977111117893"/>
      </dataBar>
      <extLst>
        <ext xmlns:x14="http://schemas.microsoft.com/office/spreadsheetml/2009/9/main" uri="{B025F937-C7B1-47D3-B67F-A62EFF666E3E}">
          <x14:id>{CB0BD712-549A-4DB5-A2F9-3FE23C183895}</x14:id>
        </ext>
      </extLst>
    </cfRule>
    <cfRule type="dataBar" priority="155">
      <dataBar>
        <cfvo type="min"/>
        <cfvo type="num" val="150"/>
        <color theme="5" tint="0.59999389629810485"/>
      </dataBar>
      <extLst>
        <ext xmlns:x14="http://schemas.microsoft.com/office/spreadsheetml/2009/9/main" uri="{B025F937-C7B1-47D3-B67F-A62EFF666E3E}">
          <x14:id>{78138C5B-BB94-452D-9306-7287B9F52977}</x14:id>
        </ext>
      </extLst>
    </cfRule>
  </conditionalFormatting>
  <conditionalFormatting sqref="N57:N59">
    <cfRule type="dataBar" priority="150">
      <dataBar>
        <cfvo type="num" val="0"/>
        <cfvo type="num" val="150"/>
        <color theme="9" tint="-0.249977111117893"/>
      </dataBar>
      <extLst>
        <ext xmlns:x14="http://schemas.microsoft.com/office/spreadsheetml/2009/9/main" uri="{B025F937-C7B1-47D3-B67F-A62EFF666E3E}">
          <x14:id>{90D4D219-E5CE-403D-935F-7079D2413412}</x14:id>
        </ext>
      </extLst>
    </cfRule>
    <cfRule type="dataBar" priority="153">
      <dataBar>
        <cfvo type="num" val="0"/>
        <cfvo type="num" val="150"/>
        <color theme="9" tint="0.39997558519241921"/>
      </dataBar>
      <extLst>
        <ext xmlns:x14="http://schemas.microsoft.com/office/spreadsheetml/2009/9/main" uri="{B025F937-C7B1-47D3-B67F-A62EFF666E3E}">
          <x14:id>{C25D3CCA-13A5-4787-93BE-B64912360A5F}</x14:id>
        </ext>
      </extLst>
    </cfRule>
    <cfRule type="dataBar" priority="154">
      <dataBar>
        <cfvo type="min"/>
        <cfvo type="num" val="150"/>
        <color theme="9" tint="0.39997558519241921"/>
      </dataBar>
      <extLst>
        <ext xmlns:x14="http://schemas.microsoft.com/office/spreadsheetml/2009/9/main" uri="{B025F937-C7B1-47D3-B67F-A62EFF666E3E}">
          <x14:id>{5092B199-8298-4B2B-A4CF-7E6C9A8D7412}</x14:id>
        </ext>
      </extLst>
    </cfRule>
  </conditionalFormatting>
  <conditionalFormatting sqref="A64:B79 D64:F79 H64:J79 L64:N79">
    <cfRule type="iconSet" priority="97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B64:B70">
    <cfRule type="dataBar" priority="128">
      <dataBar>
        <cfvo type="num" val="0"/>
        <cfvo type="num" val="150"/>
        <color theme="8" tint="-0.249977111117893"/>
      </dataBar>
      <extLst>
        <ext xmlns:x14="http://schemas.microsoft.com/office/spreadsheetml/2009/9/main" uri="{B025F937-C7B1-47D3-B67F-A62EFF666E3E}">
          <x14:id>{0C214AA2-E0BE-4D81-8840-CF25FE71973C}</x14:id>
        </ext>
      </extLst>
    </cfRule>
    <cfRule type="dataBar" priority="131">
      <dataBar>
        <cfvo type="num" val="0"/>
        <cfvo type="num" val="150"/>
        <color theme="4" tint="-0.249977111117893"/>
      </dataBar>
      <extLst>
        <ext xmlns:x14="http://schemas.microsoft.com/office/spreadsheetml/2009/9/main" uri="{B025F937-C7B1-47D3-B67F-A62EFF666E3E}">
          <x14:id>{E0FDCFE8-05A9-4C9E-A86E-8878347C171F}</x14:id>
        </ext>
      </extLst>
    </cfRule>
    <cfRule type="dataBar" priority="135">
      <dataBar>
        <cfvo type="min"/>
        <cfvo type="num" val="150"/>
        <color rgb="FF638EC6"/>
      </dataBar>
      <extLst>
        <ext xmlns:x14="http://schemas.microsoft.com/office/spreadsheetml/2009/9/main" uri="{B025F937-C7B1-47D3-B67F-A62EFF666E3E}">
          <x14:id>{3E82D52B-B558-4FB4-A256-B22C67AF954F}</x14:id>
        </ext>
      </extLst>
    </cfRule>
    <cfRule type="dataBar" priority="1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{24CBA708-6B81-47F8-9A63-13963782B151}</x14:id>
        </ext>
      </extLst>
    </cfRule>
  </conditionalFormatting>
  <conditionalFormatting sqref="B64:B79">
    <cfRule type="iconSet" priority="137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B71:B76">
    <cfRule type="dataBar" priority="130">
      <dataBar>
        <cfvo type="num" val="0"/>
        <cfvo type="num" val="150"/>
        <color theme="5" tint="-0.249977111117893"/>
      </dataBar>
      <extLst>
        <ext xmlns:x14="http://schemas.microsoft.com/office/spreadsheetml/2009/9/main" uri="{B025F937-C7B1-47D3-B67F-A62EFF666E3E}">
          <x14:id>{98B25848-6FE9-4E14-997A-8021792085B5}</x14:id>
        </ext>
      </extLst>
    </cfRule>
    <cfRule type="dataBar" priority="134">
      <dataBar>
        <cfvo type="min"/>
        <cfvo type="num" val="150"/>
        <color theme="5" tint="0.59999389629810485"/>
      </dataBar>
      <extLst>
        <ext xmlns:x14="http://schemas.microsoft.com/office/spreadsheetml/2009/9/main" uri="{B025F937-C7B1-47D3-B67F-A62EFF666E3E}">
          <x14:id>{DE7ED78C-7E47-441D-9BE2-3BC25466FF17}</x14:id>
        </ext>
      </extLst>
    </cfRule>
  </conditionalFormatting>
  <conditionalFormatting sqref="B77:B79">
    <cfRule type="dataBar" priority="129">
      <dataBar>
        <cfvo type="num" val="0"/>
        <cfvo type="num" val="150"/>
        <color theme="9" tint="-0.249977111117893"/>
      </dataBar>
      <extLst>
        <ext xmlns:x14="http://schemas.microsoft.com/office/spreadsheetml/2009/9/main" uri="{B025F937-C7B1-47D3-B67F-A62EFF666E3E}">
          <x14:id>{957646C8-5EAA-4139-AC5D-38FD0A9D3CC5}</x14:id>
        </ext>
      </extLst>
    </cfRule>
    <cfRule type="dataBar" priority="132">
      <dataBar>
        <cfvo type="num" val="0"/>
        <cfvo type="num" val="150"/>
        <color theme="9" tint="0.39997558519241921"/>
      </dataBar>
      <extLst>
        <ext xmlns:x14="http://schemas.microsoft.com/office/spreadsheetml/2009/9/main" uri="{B025F937-C7B1-47D3-B67F-A62EFF666E3E}">
          <x14:id>{EFFB71D6-39B0-471C-8DF8-01E4818E0332}</x14:id>
        </ext>
      </extLst>
    </cfRule>
    <cfRule type="dataBar" priority="133">
      <dataBar>
        <cfvo type="min"/>
        <cfvo type="num" val="150"/>
        <color theme="9" tint="0.39997558519241921"/>
      </dataBar>
      <extLst>
        <ext xmlns:x14="http://schemas.microsoft.com/office/spreadsheetml/2009/9/main" uri="{B025F937-C7B1-47D3-B67F-A62EFF666E3E}">
          <x14:id>{97AF1F0F-FE6D-4A59-B5CE-EDFF6E6EA47A}</x14:id>
        </ext>
      </extLst>
    </cfRule>
  </conditionalFormatting>
  <conditionalFormatting sqref="F64:F70">
    <cfRule type="dataBar" priority="98">
      <dataBar>
        <cfvo type="num" val="0"/>
        <cfvo type="num" val="150"/>
        <color theme="8" tint="-0.249977111117893"/>
      </dataBar>
      <extLst>
        <ext xmlns:x14="http://schemas.microsoft.com/office/spreadsheetml/2009/9/main" uri="{B025F937-C7B1-47D3-B67F-A62EFF666E3E}">
          <x14:id>{38779BAF-73B2-4B55-91CA-645CD1569A18}</x14:id>
        </ext>
      </extLst>
    </cfRule>
    <cfRule type="dataBar" priority="101">
      <dataBar>
        <cfvo type="num" val="0"/>
        <cfvo type="num" val="150"/>
        <color theme="4" tint="-0.249977111117893"/>
      </dataBar>
      <extLst>
        <ext xmlns:x14="http://schemas.microsoft.com/office/spreadsheetml/2009/9/main" uri="{B025F937-C7B1-47D3-B67F-A62EFF666E3E}">
          <x14:id>{A252C1F0-D48E-4D82-8041-49E224172150}</x14:id>
        </ext>
      </extLst>
    </cfRule>
    <cfRule type="dataBar" priority="105">
      <dataBar>
        <cfvo type="min"/>
        <cfvo type="num" val="150"/>
        <color rgb="FF638EC6"/>
      </dataBar>
      <extLst>
        <ext xmlns:x14="http://schemas.microsoft.com/office/spreadsheetml/2009/9/main" uri="{B025F937-C7B1-47D3-B67F-A62EFF666E3E}">
          <x14:id>{AE4B7FE6-4DA4-4746-B122-5CA8E8FD6775}</x14:id>
        </ext>
      </extLst>
    </cfRule>
    <cfRule type="dataBar" priority="1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{1DD8BC32-B370-43F9-B513-B40FE7108CC6}</x14:id>
        </ext>
      </extLst>
    </cfRule>
  </conditionalFormatting>
  <conditionalFormatting sqref="F64:F79">
    <cfRule type="iconSet" priority="107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F71:F76">
    <cfRule type="dataBar" priority="100">
      <dataBar>
        <cfvo type="num" val="0"/>
        <cfvo type="num" val="150"/>
        <color theme="5" tint="-0.249977111117893"/>
      </dataBar>
      <extLst>
        <ext xmlns:x14="http://schemas.microsoft.com/office/spreadsheetml/2009/9/main" uri="{B025F937-C7B1-47D3-B67F-A62EFF666E3E}">
          <x14:id>{EE76F888-6DEF-442A-B4E3-2A0FBA93C292}</x14:id>
        </ext>
      </extLst>
    </cfRule>
    <cfRule type="dataBar" priority="104">
      <dataBar>
        <cfvo type="min"/>
        <cfvo type="num" val="150"/>
        <color theme="5" tint="0.59999389629810485"/>
      </dataBar>
      <extLst>
        <ext xmlns:x14="http://schemas.microsoft.com/office/spreadsheetml/2009/9/main" uri="{B025F937-C7B1-47D3-B67F-A62EFF666E3E}">
          <x14:id>{DECC5127-E5BB-4DC4-8058-D935558DAAC9}</x14:id>
        </ext>
      </extLst>
    </cfRule>
  </conditionalFormatting>
  <conditionalFormatting sqref="F77:F79">
    <cfRule type="dataBar" priority="99">
      <dataBar>
        <cfvo type="num" val="0"/>
        <cfvo type="num" val="150"/>
        <color theme="9" tint="-0.249977111117893"/>
      </dataBar>
      <extLst>
        <ext xmlns:x14="http://schemas.microsoft.com/office/spreadsheetml/2009/9/main" uri="{B025F937-C7B1-47D3-B67F-A62EFF666E3E}">
          <x14:id>{ABEC3FD8-DAA3-48BD-8A55-AFC4D108A0EA}</x14:id>
        </ext>
      </extLst>
    </cfRule>
    <cfRule type="dataBar" priority="102">
      <dataBar>
        <cfvo type="num" val="0"/>
        <cfvo type="num" val="150"/>
        <color theme="9" tint="0.39997558519241921"/>
      </dataBar>
      <extLst>
        <ext xmlns:x14="http://schemas.microsoft.com/office/spreadsheetml/2009/9/main" uri="{B025F937-C7B1-47D3-B67F-A62EFF666E3E}">
          <x14:id>{B60AED1F-2B83-4430-A7B6-6267ACF67B0E}</x14:id>
        </ext>
      </extLst>
    </cfRule>
    <cfRule type="dataBar" priority="103">
      <dataBar>
        <cfvo type="min"/>
        <cfvo type="num" val="150"/>
        <color theme="9" tint="0.39997558519241921"/>
      </dataBar>
      <extLst>
        <ext xmlns:x14="http://schemas.microsoft.com/office/spreadsheetml/2009/9/main" uri="{B025F937-C7B1-47D3-B67F-A62EFF666E3E}">
          <x14:id>{38987EB0-91E2-4502-9E79-EA6C29057ACC}</x14:id>
        </ext>
      </extLst>
    </cfRule>
  </conditionalFormatting>
  <conditionalFormatting sqref="J64:J70">
    <cfRule type="dataBar" priority="118">
      <dataBar>
        <cfvo type="num" val="0"/>
        <cfvo type="num" val="150"/>
        <color theme="8" tint="-0.249977111117893"/>
      </dataBar>
      <extLst>
        <ext xmlns:x14="http://schemas.microsoft.com/office/spreadsheetml/2009/9/main" uri="{B025F937-C7B1-47D3-B67F-A62EFF666E3E}">
          <x14:id>{8E4B795A-AD56-441D-A2A7-2C5BD8BBE0A2}</x14:id>
        </ext>
      </extLst>
    </cfRule>
    <cfRule type="dataBar" priority="121">
      <dataBar>
        <cfvo type="num" val="0"/>
        <cfvo type="num" val="150"/>
        <color theme="4" tint="-0.249977111117893"/>
      </dataBar>
      <extLst>
        <ext xmlns:x14="http://schemas.microsoft.com/office/spreadsheetml/2009/9/main" uri="{B025F937-C7B1-47D3-B67F-A62EFF666E3E}">
          <x14:id>{03F73354-1C43-43BD-B780-96E763D3A52B}</x14:id>
        </ext>
      </extLst>
    </cfRule>
    <cfRule type="dataBar" priority="125">
      <dataBar>
        <cfvo type="min"/>
        <cfvo type="num" val="150"/>
        <color rgb="FF638EC6"/>
      </dataBar>
      <extLst>
        <ext xmlns:x14="http://schemas.microsoft.com/office/spreadsheetml/2009/9/main" uri="{B025F937-C7B1-47D3-B67F-A62EFF666E3E}">
          <x14:id>{CA82767D-67C1-4604-803F-7A819F9B5FDA}</x14:id>
        </ext>
      </extLst>
    </cfRule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{6A7CB01D-0617-4313-8DBF-36DD720B7B87}</x14:id>
        </ext>
      </extLst>
    </cfRule>
  </conditionalFormatting>
  <conditionalFormatting sqref="J64:J79">
    <cfRule type="iconSet" priority="127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J71:J76">
    <cfRule type="dataBar" priority="120">
      <dataBar>
        <cfvo type="num" val="0"/>
        <cfvo type="num" val="150"/>
        <color theme="5" tint="-0.249977111117893"/>
      </dataBar>
      <extLst>
        <ext xmlns:x14="http://schemas.microsoft.com/office/spreadsheetml/2009/9/main" uri="{B025F937-C7B1-47D3-B67F-A62EFF666E3E}">
          <x14:id>{557594B9-26C9-406E-82B2-CA8DF4092BDD}</x14:id>
        </ext>
      </extLst>
    </cfRule>
    <cfRule type="dataBar" priority="124">
      <dataBar>
        <cfvo type="min"/>
        <cfvo type="num" val="150"/>
        <color theme="5" tint="0.59999389629810485"/>
      </dataBar>
      <extLst>
        <ext xmlns:x14="http://schemas.microsoft.com/office/spreadsheetml/2009/9/main" uri="{B025F937-C7B1-47D3-B67F-A62EFF666E3E}">
          <x14:id>{72BE16CD-C684-43D8-A414-2D89991A27A0}</x14:id>
        </ext>
      </extLst>
    </cfRule>
  </conditionalFormatting>
  <conditionalFormatting sqref="J77:J79">
    <cfRule type="dataBar" priority="119">
      <dataBar>
        <cfvo type="num" val="0"/>
        <cfvo type="num" val="150"/>
        <color theme="9" tint="-0.249977111117893"/>
      </dataBar>
      <extLst>
        <ext xmlns:x14="http://schemas.microsoft.com/office/spreadsheetml/2009/9/main" uri="{B025F937-C7B1-47D3-B67F-A62EFF666E3E}">
          <x14:id>{85D061B8-5283-4CF1-98CF-D499C3C35D62}</x14:id>
        </ext>
      </extLst>
    </cfRule>
    <cfRule type="dataBar" priority="122">
      <dataBar>
        <cfvo type="num" val="0"/>
        <cfvo type="num" val="150"/>
        <color theme="9" tint="0.39997558519241921"/>
      </dataBar>
      <extLst>
        <ext xmlns:x14="http://schemas.microsoft.com/office/spreadsheetml/2009/9/main" uri="{B025F937-C7B1-47D3-B67F-A62EFF666E3E}">
          <x14:id>{C335D03E-681F-4989-B733-1CA580CEFF77}</x14:id>
        </ext>
      </extLst>
    </cfRule>
    <cfRule type="dataBar" priority="123">
      <dataBar>
        <cfvo type="min"/>
        <cfvo type="num" val="150"/>
        <color theme="9" tint="0.39997558519241921"/>
      </dataBar>
      <extLst>
        <ext xmlns:x14="http://schemas.microsoft.com/office/spreadsheetml/2009/9/main" uri="{B025F937-C7B1-47D3-B67F-A62EFF666E3E}">
          <x14:id>{09223B75-C5ED-4683-9EAA-0C75199DFDD2}</x14:id>
        </ext>
      </extLst>
    </cfRule>
  </conditionalFormatting>
  <conditionalFormatting sqref="N64:N70">
    <cfRule type="dataBar" priority="108">
      <dataBar>
        <cfvo type="num" val="0"/>
        <cfvo type="num" val="150"/>
        <color theme="8" tint="-0.249977111117893"/>
      </dataBar>
      <extLst>
        <ext xmlns:x14="http://schemas.microsoft.com/office/spreadsheetml/2009/9/main" uri="{B025F937-C7B1-47D3-B67F-A62EFF666E3E}">
          <x14:id>{49938006-D049-4C3E-9932-F837B0931880}</x14:id>
        </ext>
      </extLst>
    </cfRule>
    <cfRule type="dataBar" priority="111">
      <dataBar>
        <cfvo type="num" val="0"/>
        <cfvo type="num" val="150"/>
        <color theme="4" tint="-0.249977111117893"/>
      </dataBar>
      <extLst>
        <ext xmlns:x14="http://schemas.microsoft.com/office/spreadsheetml/2009/9/main" uri="{B025F937-C7B1-47D3-B67F-A62EFF666E3E}">
          <x14:id>{BAEDBA01-B7BF-442F-BE01-095F12E95A96}</x14:id>
        </ext>
      </extLst>
    </cfRule>
    <cfRule type="dataBar" priority="115">
      <dataBar>
        <cfvo type="min"/>
        <cfvo type="num" val="150"/>
        <color rgb="FF638EC6"/>
      </dataBar>
      <extLst>
        <ext xmlns:x14="http://schemas.microsoft.com/office/spreadsheetml/2009/9/main" uri="{B025F937-C7B1-47D3-B67F-A62EFF666E3E}">
          <x14:id>{550807F5-A145-4F74-BA0F-0C33103DF218}</x14:id>
        </ext>
      </extLst>
    </cfRule>
    <cfRule type="dataBar" priority="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{D0B2F7F4-04FF-4FBE-B6A3-6B789E6FDA9F}</x14:id>
        </ext>
      </extLst>
    </cfRule>
  </conditionalFormatting>
  <conditionalFormatting sqref="N64:N79">
    <cfRule type="iconSet" priority="117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N71:N76">
    <cfRule type="dataBar" priority="110">
      <dataBar>
        <cfvo type="num" val="0"/>
        <cfvo type="num" val="150"/>
        <color theme="5" tint="-0.249977111117893"/>
      </dataBar>
      <extLst>
        <ext xmlns:x14="http://schemas.microsoft.com/office/spreadsheetml/2009/9/main" uri="{B025F937-C7B1-47D3-B67F-A62EFF666E3E}">
          <x14:id>{FA156508-15B5-43AF-A861-7930CA697819}</x14:id>
        </ext>
      </extLst>
    </cfRule>
    <cfRule type="dataBar" priority="114">
      <dataBar>
        <cfvo type="min"/>
        <cfvo type="num" val="150"/>
        <color theme="5" tint="0.59999389629810485"/>
      </dataBar>
      <extLst>
        <ext xmlns:x14="http://schemas.microsoft.com/office/spreadsheetml/2009/9/main" uri="{B025F937-C7B1-47D3-B67F-A62EFF666E3E}">
          <x14:id>{92E3DB08-6AD9-493C-9117-35399E7C294F}</x14:id>
        </ext>
      </extLst>
    </cfRule>
  </conditionalFormatting>
  <conditionalFormatting sqref="N77:N79">
    <cfRule type="dataBar" priority="109">
      <dataBar>
        <cfvo type="num" val="0"/>
        <cfvo type="num" val="150"/>
        <color theme="9" tint="-0.249977111117893"/>
      </dataBar>
      <extLst>
        <ext xmlns:x14="http://schemas.microsoft.com/office/spreadsheetml/2009/9/main" uri="{B025F937-C7B1-47D3-B67F-A62EFF666E3E}">
          <x14:id>{9626B2BE-BD6C-4A6A-A466-8635F321CA56}</x14:id>
        </ext>
      </extLst>
    </cfRule>
    <cfRule type="dataBar" priority="112">
      <dataBar>
        <cfvo type="num" val="0"/>
        <cfvo type="num" val="150"/>
        <color theme="9" tint="0.39997558519241921"/>
      </dataBar>
      <extLst>
        <ext xmlns:x14="http://schemas.microsoft.com/office/spreadsheetml/2009/9/main" uri="{B025F937-C7B1-47D3-B67F-A62EFF666E3E}">
          <x14:id>{57E26DAE-F22F-44D5-B0B7-AF54D1F35B51}</x14:id>
        </ext>
      </extLst>
    </cfRule>
    <cfRule type="dataBar" priority="113">
      <dataBar>
        <cfvo type="min"/>
        <cfvo type="num" val="150"/>
        <color theme="9" tint="0.39997558519241921"/>
      </dataBar>
      <extLst>
        <ext xmlns:x14="http://schemas.microsoft.com/office/spreadsheetml/2009/9/main" uri="{B025F937-C7B1-47D3-B67F-A62EFF666E3E}">
          <x14:id>{02C5DACF-FC86-4F35-854B-112F1265811C}</x14:id>
        </ext>
      </extLst>
    </cfRule>
  </conditionalFormatting>
  <conditionalFormatting sqref="G4:G19">
    <cfRule type="cellIs" dxfId="95" priority="91" operator="lessThan">
      <formula>5</formula>
    </cfRule>
    <cfRule type="cellIs" dxfId="94" priority="92" operator="lessThan">
      <formula>4</formula>
    </cfRule>
    <cfRule type="cellIs" dxfId="93" priority="93" operator="between">
      <formula>5</formula>
      <formula>8</formula>
    </cfRule>
    <cfRule type="cellIs" dxfId="92" priority="94" operator="between">
      <formula>9</formula>
      <formula>12</formula>
    </cfRule>
    <cfRule type="cellIs" dxfId="91" priority="95" operator="between">
      <formula>9</formula>
      <formula>12</formula>
    </cfRule>
    <cfRule type="cellIs" dxfId="90" priority="96" operator="greaterThan">
      <formula>12</formula>
    </cfRule>
  </conditionalFormatting>
  <conditionalFormatting sqref="K4:K19">
    <cfRule type="cellIs" dxfId="89" priority="85" operator="lessThan">
      <formula>5</formula>
    </cfRule>
    <cfRule type="cellIs" dxfId="88" priority="86" operator="lessThan">
      <formula>4</formula>
    </cfRule>
    <cfRule type="cellIs" dxfId="87" priority="87" operator="between">
      <formula>5</formula>
      <formula>8</formula>
    </cfRule>
    <cfRule type="cellIs" dxfId="86" priority="88" operator="between">
      <formula>9</formula>
      <formula>12</formula>
    </cfRule>
    <cfRule type="cellIs" dxfId="85" priority="89" operator="between">
      <formula>9</formula>
      <formula>12</formula>
    </cfRule>
    <cfRule type="cellIs" dxfId="84" priority="90" operator="greaterThan">
      <formula>12</formula>
    </cfRule>
  </conditionalFormatting>
  <conditionalFormatting sqref="O4:O19">
    <cfRule type="cellIs" dxfId="83" priority="79" operator="lessThan">
      <formula>5</formula>
    </cfRule>
    <cfRule type="cellIs" dxfId="82" priority="80" operator="lessThan">
      <formula>4</formula>
    </cfRule>
    <cfRule type="cellIs" dxfId="81" priority="81" operator="between">
      <formula>5</formula>
      <formula>8</formula>
    </cfRule>
    <cfRule type="cellIs" dxfId="80" priority="82" operator="between">
      <formula>9</formula>
      <formula>12</formula>
    </cfRule>
    <cfRule type="cellIs" dxfId="79" priority="83" operator="between">
      <formula>9</formula>
      <formula>12</formula>
    </cfRule>
    <cfRule type="cellIs" dxfId="78" priority="84" operator="greaterThan">
      <formula>12</formula>
    </cfRule>
  </conditionalFormatting>
  <conditionalFormatting sqref="G24:G39">
    <cfRule type="cellIs" dxfId="77" priority="73" operator="lessThan">
      <formula>5</formula>
    </cfRule>
    <cfRule type="cellIs" dxfId="76" priority="74" operator="lessThan">
      <formula>4</formula>
    </cfRule>
    <cfRule type="cellIs" dxfId="75" priority="75" operator="between">
      <formula>5</formula>
      <formula>8</formula>
    </cfRule>
    <cfRule type="cellIs" dxfId="74" priority="76" operator="between">
      <formula>9</formula>
      <formula>12</formula>
    </cfRule>
    <cfRule type="cellIs" dxfId="73" priority="77" operator="between">
      <formula>9</formula>
      <formula>12</formula>
    </cfRule>
    <cfRule type="cellIs" dxfId="72" priority="78" operator="greaterThan">
      <formula>12</formula>
    </cfRule>
  </conditionalFormatting>
  <conditionalFormatting sqref="K24:K39">
    <cfRule type="cellIs" dxfId="71" priority="67" operator="lessThan">
      <formula>5</formula>
    </cfRule>
    <cfRule type="cellIs" dxfId="70" priority="68" operator="lessThan">
      <formula>4</formula>
    </cfRule>
    <cfRule type="cellIs" dxfId="69" priority="69" operator="between">
      <formula>5</formula>
      <formula>8</formula>
    </cfRule>
    <cfRule type="cellIs" dxfId="68" priority="70" operator="between">
      <formula>9</formula>
      <formula>12</formula>
    </cfRule>
    <cfRule type="cellIs" dxfId="67" priority="71" operator="between">
      <formula>9</formula>
      <formula>12</formula>
    </cfRule>
    <cfRule type="cellIs" dxfId="66" priority="72" operator="greaterThan">
      <formula>12</formula>
    </cfRule>
  </conditionalFormatting>
  <conditionalFormatting sqref="O24:O39">
    <cfRule type="cellIs" dxfId="65" priority="61" operator="lessThan">
      <formula>5</formula>
    </cfRule>
    <cfRule type="cellIs" dxfId="64" priority="62" operator="lessThan">
      <formula>4</formula>
    </cfRule>
    <cfRule type="cellIs" dxfId="63" priority="63" operator="between">
      <formula>5</formula>
      <formula>8</formula>
    </cfRule>
    <cfRule type="cellIs" dxfId="62" priority="64" operator="between">
      <formula>9</formula>
      <formula>12</formula>
    </cfRule>
    <cfRule type="cellIs" dxfId="61" priority="65" operator="between">
      <formula>9</formula>
      <formula>12</formula>
    </cfRule>
    <cfRule type="cellIs" dxfId="60" priority="66" operator="greaterThan">
      <formula>12</formula>
    </cfRule>
  </conditionalFormatting>
  <conditionalFormatting sqref="G44:G59">
    <cfRule type="cellIs" dxfId="59" priority="55" operator="lessThan">
      <formula>5</formula>
    </cfRule>
    <cfRule type="cellIs" dxfId="58" priority="56" operator="lessThan">
      <formula>4</formula>
    </cfRule>
    <cfRule type="cellIs" dxfId="57" priority="57" operator="between">
      <formula>5</formula>
      <formula>8</formula>
    </cfRule>
    <cfRule type="cellIs" dxfId="56" priority="58" operator="between">
      <formula>9</formula>
      <formula>12</formula>
    </cfRule>
    <cfRule type="cellIs" dxfId="55" priority="59" operator="between">
      <formula>9</formula>
      <formula>12</formula>
    </cfRule>
    <cfRule type="cellIs" dxfId="54" priority="60" operator="greaterThan">
      <formula>12</formula>
    </cfRule>
  </conditionalFormatting>
  <conditionalFormatting sqref="K44:K59">
    <cfRule type="cellIs" dxfId="53" priority="49" operator="lessThan">
      <formula>5</formula>
    </cfRule>
    <cfRule type="cellIs" dxfId="52" priority="50" operator="lessThan">
      <formula>4</formula>
    </cfRule>
    <cfRule type="cellIs" dxfId="51" priority="51" operator="between">
      <formula>5</formula>
      <formula>8</formula>
    </cfRule>
    <cfRule type="cellIs" dxfId="50" priority="52" operator="between">
      <formula>9</formula>
      <formula>12</formula>
    </cfRule>
    <cfRule type="cellIs" dxfId="49" priority="53" operator="between">
      <formula>9</formula>
      <formula>12</formula>
    </cfRule>
    <cfRule type="cellIs" dxfId="48" priority="54" operator="greaterThan">
      <formula>12</formula>
    </cfRule>
  </conditionalFormatting>
  <conditionalFormatting sqref="O44:O59">
    <cfRule type="cellIs" dxfId="47" priority="43" operator="lessThan">
      <formula>5</formula>
    </cfRule>
    <cfRule type="cellIs" dxfId="46" priority="44" operator="lessThan">
      <formula>4</formula>
    </cfRule>
    <cfRule type="cellIs" dxfId="45" priority="45" operator="between">
      <formula>5</formula>
      <formula>8</formula>
    </cfRule>
    <cfRule type="cellIs" dxfId="44" priority="46" operator="between">
      <formula>9</formula>
      <formula>12</formula>
    </cfRule>
    <cfRule type="cellIs" dxfId="43" priority="47" operator="between">
      <formula>9</formula>
      <formula>12</formula>
    </cfRule>
    <cfRule type="cellIs" dxfId="42" priority="48" operator="greaterThan">
      <formula>12</formula>
    </cfRule>
  </conditionalFormatting>
  <conditionalFormatting sqref="G64:G79">
    <cfRule type="cellIs" dxfId="41" priority="37" operator="lessThan">
      <formula>5</formula>
    </cfRule>
    <cfRule type="cellIs" dxfId="40" priority="38" operator="lessThan">
      <formula>4</formula>
    </cfRule>
    <cfRule type="cellIs" dxfId="39" priority="39" operator="between">
      <formula>5</formula>
      <formula>8</formula>
    </cfRule>
    <cfRule type="cellIs" dxfId="38" priority="40" operator="between">
      <formula>9</formula>
      <formula>12</formula>
    </cfRule>
    <cfRule type="cellIs" dxfId="37" priority="41" operator="between">
      <formula>9</formula>
      <formula>12</formula>
    </cfRule>
    <cfRule type="cellIs" dxfId="36" priority="42" operator="greaterThan">
      <formula>12</formula>
    </cfRule>
  </conditionalFormatting>
  <conditionalFormatting sqref="K64:K79">
    <cfRule type="cellIs" dxfId="35" priority="31" operator="lessThan">
      <formula>5</formula>
    </cfRule>
    <cfRule type="cellIs" dxfId="34" priority="32" operator="lessThan">
      <formula>4</formula>
    </cfRule>
    <cfRule type="cellIs" dxfId="33" priority="33" operator="between">
      <formula>5</formula>
      <formula>8</formula>
    </cfRule>
    <cfRule type="cellIs" dxfId="32" priority="34" operator="between">
      <formula>9</formula>
      <formula>12</formula>
    </cfRule>
    <cfRule type="cellIs" dxfId="31" priority="35" operator="between">
      <formula>9</formula>
      <formula>12</formula>
    </cfRule>
    <cfRule type="cellIs" dxfId="30" priority="36" operator="greaterThan">
      <formula>12</formula>
    </cfRule>
  </conditionalFormatting>
  <conditionalFormatting sqref="O64:O79">
    <cfRule type="cellIs" dxfId="29" priority="25" operator="lessThan">
      <formula>5</formula>
    </cfRule>
    <cfRule type="cellIs" dxfId="28" priority="26" operator="lessThan">
      <formula>4</formula>
    </cfRule>
    <cfRule type="cellIs" dxfId="27" priority="27" operator="between">
      <formula>5</formula>
      <formula>8</formula>
    </cfRule>
    <cfRule type="cellIs" dxfId="26" priority="28" operator="between">
      <formula>9</formula>
      <formula>12</formula>
    </cfRule>
    <cfRule type="cellIs" dxfId="25" priority="29" operator="between">
      <formula>9</formula>
      <formula>12</formula>
    </cfRule>
    <cfRule type="cellIs" dxfId="24" priority="30" operator="greaterThan">
      <formula>12</formula>
    </cfRule>
  </conditionalFormatting>
  <conditionalFormatting sqref="C4:C19">
    <cfRule type="cellIs" dxfId="23" priority="19" operator="lessThan">
      <formula>5</formula>
    </cfRule>
    <cfRule type="cellIs" dxfId="22" priority="20" operator="lessThan">
      <formula>4</formula>
    </cfRule>
    <cfRule type="cellIs" dxfId="21" priority="21" operator="between">
      <formula>5</formula>
      <formula>8</formula>
    </cfRule>
    <cfRule type="cellIs" dxfId="20" priority="22" operator="between">
      <formula>9</formula>
      <formula>12</formula>
    </cfRule>
    <cfRule type="cellIs" dxfId="19" priority="23" operator="between">
      <formula>9</formula>
      <formula>12</formula>
    </cfRule>
    <cfRule type="cellIs" dxfId="18" priority="24" operator="greaterThan">
      <formula>12</formula>
    </cfRule>
  </conditionalFormatting>
  <conditionalFormatting sqref="C24:C39">
    <cfRule type="cellIs" dxfId="17" priority="13" operator="lessThan">
      <formula>5</formula>
    </cfRule>
    <cfRule type="cellIs" dxfId="16" priority="14" operator="lessThan">
      <formula>4</formula>
    </cfRule>
    <cfRule type="cellIs" dxfId="15" priority="15" operator="between">
      <formula>5</formula>
      <formula>8</formula>
    </cfRule>
    <cfRule type="cellIs" dxfId="14" priority="16" operator="between">
      <formula>9</formula>
      <formula>12</formula>
    </cfRule>
    <cfRule type="cellIs" dxfId="13" priority="17" operator="between">
      <formula>9</formula>
      <formula>12</formula>
    </cfRule>
    <cfRule type="cellIs" dxfId="12" priority="18" operator="greaterThan">
      <formula>12</formula>
    </cfRule>
  </conditionalFormatting>
  <conditionalFormatting sqref="C44:C59">
    <cfRule type="cellIs" dxfId="11" priority="7" operator="lessThan">
      <formula>5</formula>
    </cfRule>
    <cfRule type="cellIs" dxfId="10" priority="8" operator="lessThan">
      <formula>4</formula>
    </cfRule>
    <cfRule type="cellIs" dxfId="9" priority="9" operator="between">
      <formula>5</formula>
      <formula>8</formula>
    </cfRule>
    <cfRule type="cellIs" dxfId="8" priority="10" operator="between">
      <formula>9</formula>
      <formula>12</formula>
    </cfRule>
    <cfRule type="cellIs" dxfId="7" priority="11" operator="between">
      <formula>9</formula>
      <formula>12</formula>
    </cfRule>
    <cfRule type="cellIs" dxfId="6" priority="12" operator="greaterThan">
      <formula>12</formula>
    </cfRule>
  </conditionalFormatting>
  <conditionalFormatting sqref="C64:C79">
    <cfRule type="cellIs" dxfId="5" priority="1" operator="lessThan">
      <formula>5</formula>
    </cfRule>
    <cfRule type="cellIs" dxfId="4" priority="2" operator="lessThan">
      <formula>4</formula>
    </cfRule>
    <cfRule type="cellIs" dxfId="3" priority="3" operator="between">
      <formula>5</formula>
      <formula>8</formula>
    </cfRule>
    <cfRule type="cellIs" dxfId="2" priority="4" operator="between">
      <formula>9</formula>
      <formula>12</formula>
    </cfRule>
    <cfRule type="cellIs" dxfId="1" priority="5" operator="between">
      <formula>9</formula>
      <formula>12</formula>
    </cfRule>
    <cfRule type="cellIs" dxfId="0" priority="6" operator="greaterThan">
      <formula>12</formula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8C48DD3-BEF3-40F2-9742-C7C075003DEF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217F17B7-3B84-4551-AE54-074959FBD634}">
            <x14:dataBar minLength="0" maxLength="100" gradient="0">
              <x14:cfvo type="num">
                <xm:f>0</xm:f>
              </x14:cfvo>
              <x14:cfvo type="num">
                <xm:f>150</xm:f>
              </x14:cfvo>
              <x14:negativeFillColor rgb="FFFF0000"/>
              <x14:axisColor rgb="FF000000"/>
            </x14:dataBar>
          </x14:cfRule>
          <x14:cfRule type="dataBar" id="{EAE34C3A-70CC-4679-8682-A4881AC8749F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302031A7-B9D8-4642-931C-A82908223B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B4:B10</xm:sqref>
        </x14:conditionalFormatting>
        <x14:conditionalFormatting xmlns:xm="http://schemas.microsoft.com/office/excel/2006/main">
          <x14:cfRule type="dataBar" id="{2FEFE123-12C3-466F-AFC5-C30568DC150C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 tint="-4.9989318521683403E-2"/>
              <x14:negativeFillColor rgb="FFFF0000"/>
              <x14:axisColor rgb="FF000000"/>
            </x14:dataBar>
          </x14:cfRule>
          <x14:cfRule type="dataBar" id="{130EA650-E59D-4C30-8531-DC1513521095}">
            <x14:dataBar minLength="0" maxLength="100" border="1" gradient="0">
              <x14:cfvo type="auto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B11:B16</xm:sqref>
        </x14:conditionalFormatting>
        <x14:conditionalFormatting xmlns:xm="http://schemas.microsoft.com/office/excel/2006/main">
          <x14:cfRule type="dataBar" id="{EE3DE4DF-F5CF-4DDE-9A95-C5B3695FA5E8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7749DB7A-3FC9-4B68-85A3-24686744A309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708A42EF-B454-4ED4-B40C-B5F440AA3102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B17:B19</xm:sqref>
        </x14:conditionalFormatting>
        <x14:conditionalFormatting xmlns:xm="http://schemas.microsoft.com/office/excel/2006/main">
          <x14:cfRule type="dataBar" id="{19047845-90B2-4608-A0AB-F402C80549DC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2F7F61CD-F228-44C7-B649-B20203641F1C}">
            <x14:dataBar minLength="0" maxLength="100" gradient="0">
              <x14:cfvo type="num">
                <xm:f>0</xm:f>
              </x14:cfvo>
              <x14:cfvo type="num">
                <xm:f>150</xm:f>
              </x14:cfvo>
              <x14:negativeFillColor rgb="FFFF0000"/>
              <x14:axisColor rgb="FF000000"/>
            </x14:dataBar>
          </x14:cfRule>
          <x14:cfRule type="dataBar" id="{E6B10EEF-C937-4EC0-A3D0-83C8758A761E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20036E4B-0F2F-4A71-92D9-CD8C4ED3B9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B24:B30</xm:sqref>
        </x14:conditionalFormatting>
        <x14:conditionalFormatting xmlns:xm="http://schemas.microsoft.com/office/excel/2006/main">
          <x14:cfRule type="dataBar" id="{1D4D8E08-DBD9-4C49-BA94-81BD3D53E9F0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 tint="-4.9989318521683403E-2"/>
              <x14:negativeFillColor rgb="FFFF0000"/>
              <x14:axisColor rgb="FF000000"/>
            </x14:dataBar>
          </x14:cfRule>
          <x14:cfRule type="dataBar" id="{FC9EA11E-0647-402F-843C-27F00ED89E1D}">
            <x14:dataBar minLength="0" maxLength="100" border="1" gradient="0">
              <x14:cfvo type="auto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B31:B36</xm:sqref>
        </x14:conditionalFormatting>
        <x14:conditionalFormatting xmlns:xm="http://schemas.microsoft.com/office/excel/2006/main">
          <x14:cfRule type="dataBar" id="{4DA031F5-B212-46A1-8DA3-E0E3C7021EE6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D23CCDBA-08F8-40C1-B5D8-43470720CDAD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907F5D3D-7B1C-4960-919B-EE558155CBED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B37:B39</xm:sqref>
        </x14:conditionalFormatting>
        <x14:conditionalFormatting xmlns:xm="http://schemas.microsoft.com/office/excel/2006/main">
          <x14:cfRule type="dataBar" id="{356151B5-DD1F-48AA-A336-7F0DAC2A6049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89E9C7E8-8414-4546-BB14-263AA618989C}">
            <x14:dataBar minLength="0" maxLength="100" gradient="0">
              <x14:cfvo type="num">
                <xm:f>0</xm:f>
              </x14:cfvo>
              <x14:cfvo type="num">
                <xm:f>150</xm:f>
              </x14:cfvo>
              <x14:negativeFillColor rgb="FFFF0000"/>
              <x14:axisColor rgb="FF000000"/>
            </x14:dataBar>
          </x14:cfRule>
          <x14:cfRule type="dataBar" id="{17E6F869-AEDE-4D09-A851-B149B9D4E4C9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1F305E8E-D528-4F32-8066-D5A0E2DC24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F4:F10</xm:sqref>
        </x14:conditionalFormatting>
        <x14:conditionalFormatting xmlns:xm="http://schemas.microsoft.com/office/excel/2006/main">
          <x14:cfRule type="dataBar" id="{82D36F20-FE39-4E24-BA03-8C87C45846BC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 tint="-4.9989318521683403E-2"/>
              <x14:negativeFillColor rgb="FFFF0000"/>
              <x14:axisColor rgb="FF000000"/>
            </x14:dataBar>
          </x14:cfRule>
          <x14:cfRule type="dataBar" id="{F77AF3B9-4D0E-408A-9064-C3C34D1AD9E2}">
            <x14:dataBar minLength="0" maxLength="100" border="1" gradient="0">
              <x14:cfvo type="auto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F11:F16</xm:sqref>
        </x14:conditionalFormatting>
        <x14:conditionalFormatting xmlns:xm="http://schemas.microsoft.com/office/excel/2006/main">
          <x14:cfRule type="dataBar" id="{8B9E7C3A-531D-4805-807D-6A090AAFE358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58C60AF5-98DC-4ACB-AF88-7C4069169A03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6A5E4BFD-5227-4DA0-BFCC-D90295043FFC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F17:F19</xm:sqref>
        </x14:conditionalFormatting>
        <x14:conditionalFormatting xmlns:xm="http://schemas.microsoft.com/office/excel/2006/main">
          <x14:cfRule type="dataBar" id="{4E75749C-2B24-4E2D-B7CD-D9EBC75A550A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9A105223-2DF2-49BA-AEB1-2F4F6B4E0857}">
            <x14:dataBar minLength="0" maxLength="100" gradient="0">
              <x14:cfvo type="num">
                <xm:f>0</xm:f>
              </x14:cfvo>
              <x14:cfvo type="num">
                <xm:f>150</xm:f>
              </x14:cfvo>
              <x14:negativeFillColor rgb="FFFF0000"/>
              <x14:axisColor rgb="FF000000"/>
            </x14:dataBar>
          </x14:cfRule>
          <x14:cfRule type="dataBar" id="{42A87BA8-6BDE-44E5-82EF-01ACD8DE2FDE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E742A122-69E8-4EC1-8CEE-5DBCF70FC4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F24:F30</xm:sqref>
        </x14:conditionalFormatting>
        <x14:conditionalFormatting xmlns:xm="http://schemas.microsoft.com/office/excel/2006/main">
          <x14:cfRule type="dataBar" id="{871BC587-874A-42AB-BB33-C483EC6B459C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 tint="-4.9989318521683403E-2"/>
              <x14:negativeFillColor rgb="FFFF0000"/>
              <x14:axisColor rgb="FF000000"/>
            </x14:dataBar>
          </x14:cfRule>
          <x14:cfRule type="dataBar" id="{F620DEDA-34F7-4CB8-AC3F-86D1519F9DFF}">
            <x14:dataBar minLength="0" maxLength="100" border="1" gradient="0">
              <x14:cfvo type="auto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F31:F36</xm:sqref>
        </x14:conditionalFormatting>
        <x14:conditionalFormatting xmlns:xm="http://schemas.microsoft.com/office/excel/2006/main">
          <x14:cfRule type="dataBar" id="{19AED7F5-E671-49C8-932B-881FFC526805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3A3AF290-B2D0-46AE-B64D-49B9668BCC4F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32855793-8A09-4CBB-A3A4-CAB795BA13BA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F37:F39</xm:sqref>
        </x14:conditionalFormatting>
        <x14:conditionalFormatting xmlns:xm="http://schemas.microsoft.com/office/excel/2006/main">
          <x14:cfRule type="dataBar" id="{BA5F036C-AD3F-4647-AA4B-FC59C2E74C8C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A05681F2-717F-4172-A26F-74C76458B70B}">
            <x14:dataBar minLength="0" maxLength="100" gradient="0">
              <x14:cfvo type="num">
                <xm:f>0</xm:f>
              </x14:cfvo>
              <x14:cfvo type="num">
                <xm:f>150</xm:f>
              </x14:cfvo>
              <x14:negativeFillColor rgb="FFFF0000"/>
              <x14:axisColor rgb="FF000000"/>
            </x14:dataBar>
          </x14:cfRule>
          <x14:cfRule type="dataBar" id="{A1EA81F8-D948-4797-88C7-CEC3CA542CAB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A9D6E9DD-7350-4365-9044-3DB55B811F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J4:J10</xm:sqref>
        </x14:conditionalFormatting>
        <x14:conditionalFormatting xmlns:xm="http://schemas.microsoft.com/office/excel/2006/main">
          <x14:cfRule type="dataBar" id="{A4D4D39A-1666-427F-A8A1-3E9F133BC03D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 tint="-4.9989318521683403E-2"/>
              <x14:negativeFillColor rgb="FFFF0000"/>
              <x14:axisColor rgb="FF000000"/>
            </x14:dataBar>
          </x14:cfRule>
          <x14:cfRule type="dataBar" id="{5A24DF7F-8476-4D26-AE4D-355DFC2C0B74}">
            <x14:dataBar minLength="0" maxLength="100" border="1" gradient="0">
              <x14:cfvo type="auto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J11:J16</xm:sqref>
        </x14:conditionalFormatting>
        <x14:conditionalFormatting xmlns:xm="http://schemas.microsoft.com/office/excel/2006/main">
          <x14:cfRule type="dataBar" id="{D9E0481F-D3E6-4244-B3EB-87E1D160E2D7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EF31E235-ACA4-441E-AAE3-D7206F0655CB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AAE6CEF5-0454-43B1-A536-4DAE42BA8D08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J17:J19</xm:sqref>
        </x14:conditionalFormatting>
        <x14:conditionalFormatting xmlns:xm="http://schemas.microsoft.com/office/excel/2006/main">
          <x14:cfRule type="dataBar" id="{7A67D67D-55BB-47C6-88FA-C4C8E51CE0FC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6617DDE7-1ACE-483A-9D35-F3AFEDDDE460}">
            <x14:dataBar minLength="0" maxLength="100" gradient="0">
              <x14:cfvo type="num">
                <xm:f>0</xm:f>
              </x14:cfvo>
              <x14:cfvo type="num">
                <xm:f>150</xm:f>
              </x14:cfvo>
              <x14:negativeFillColor rgb="FFFF0000"/>
              <x14:axisColor rgb="FF000000"/>
            </x14:dataBar>
          </x14:cfRule>
          <x14:cfRule type="dataBar" id="{D04AB66B-9639-4CA9-A9CB-EAE17649C582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A21045B2-BA6A-4F2B-936F-B51FB5686C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J24:J30</xm:sqref>
        </x14:conditionalFormatting>
        <x14:conditionalFormatting xmlns:xm="http://schemas.microsoft.com/office/excel/2006/main">
          <x14:cfRule type="dataBar" id="{6118D727-0B4F-445A-A320-821D53108DB9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 tint="-4.9989318521683403E-2"/>
              <x14:negativeFillColor rgb="FFFF0000"/>
              <x14:axisColor rgb="FF000000"/>
            </x14:dataBar>
          </x14:cfRule>
          <x14:cfRule type="dataBar" id="{533A6DB6-C97D-42CC-BC2A-C88341430D76}">
            <x14:dataBar minLength="0" maxLength="100" border="1" gradient="0">
              <x14:cfvo type="auto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J31:J36</xm:sqref>
        </x14:conditionalFormatting>
        <x14:conditionalFormatting xmlns:xm="http://schemas.microsoft.com/office/excel/2006/main">
          <x14:cfRule type="dataBar" id="{A3D02A62-88A6-43D0-BF5B-4AF4F391C969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A372058C-C1A4-471F-891D-D451E4CEF4DB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51640A77-5221-4CE0-9C49-1D489CA417DB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J37:J39</xm:sqref>
        </x14:conditionalFormatting>
        <x14:conditionalFormatting xmlns:xm="http://schemas.microsoft.com/office/excel/2006/main">
          <x14:cfRule type="dataBar" id="{8E25E447-87AF-4FB0-9B37-55AE7578B3F4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45282BFC-5673-4F94-852D-273C5D4FF576}">
            <x14:dataBar minLength="0" maxLength="100" gradient="0">
              <x14:cfvo type="num">
                <xm:f>0</xm:f>
              </x14:cfvo>
              <x14:cfvo type="num">
                <xm:f>150</xm:f>
              </x14:cfvo>
              <x14:negativeFillColor rgb="FFFF0000"/>
              <x14:axisColor rgb="FF000000"/>
            </x14:dataBar>
          </x14:cfRule>
          <x14:cfRule type="dataBar" id="{F304E3DF-2ACE-4E7F-8999-5844CD27B6E1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1BB91D55-AE7F-406D-B287-76D2204299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N4:N10</xm:sqref>
        </x14:conditionalFormatting>
        <x14:conditionalFormatting xmlns:xm="http://schemas.microsoft.com/office/excel/2006/main">
          <x14:cfRule type="dataBar" id="{04D620AA-AB16-4E6F-97D7-A74C9A9D39D3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 tint="-4.9989318521683403E-2"/>
              <x14:negativeFillColor rgb="FFFF0000"/>
              <x14:axisColor rgb="FF000000"/>
            </x14:dataBar>
          </x14:cfRule>
          <x14:cfRule type="dataBar" id="{AF606D69-D0F2-4A84-AC51-F9EE7AFB6C0B}">
            <x14:dataBar minLength="0" maxLength="100" border="1" gradient="0">
              <x14:cfvo type="auto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N11:N16</xm:sqref>
        </x14:conditionalFormatting>
        <x14:conditionalFormatting xmlns:xm="http://schemas.microsoft.com/office/excel/2006/main">
          <x14:cfRule type="dataBar" id="{F003194C-B018-4AA7-90E3-A090D27C97DB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4FB56B6F-F46B-4C6E-91BF-CE26CBE29CA1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8097911A-8300-482D-AB72-5FB9A07CF2D9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N17:N19</xm:sqref>
        </x14:conditionalFormatting>
        <x14:conditionalFormatting xmlns:xm="http://schemas.microsoft.com/office/excel/2006/main">
          <x14:cfRule type="dataBar" id="{DA4592F8-93B9-44CD-A689-5B8B4FFD3F6F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2AC6FA96-418C-4000-A14C-CDD8A7ABDC1C}">
            <x14:dataBar minLength="0" maxLength="100" gradient="0">
              <x14:cfvo type="num">
                <xm:f>0</xm:f>
              </x14:cfvo>
              <x14:cfvo type="num">
                <xm:f>150</xm:f>
              </x14:cfvo>
              <x14:negativeFillColor rgb="FFFF0000"/>
              <x14:axisColor rgb="FF000000"/>
            </x14:dataBar>
          </x14:cfRule>
          <x14:cfRule type="dataBar" id="{B56DA2B8-29E7-4A9D-A8DB-F07C8337CEE5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56CFE8B5-6668-4021-AE4D-5492EF7DBB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N24:N30</xm:sqref>
        </x14:conditionalFormatting>
        <x14:conditionalFormatting xmlns:xm="http://schemas.microsoft.com/office/excel/2006/main">
          <x14:cfRule type="dataBar" id="{C6C2A1F7-90A2-40C4-BC4A-84939AA715AC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 tint="-4.9989318521683403E-2"/>
              <x14:negativeFillColor rgb="FFFF0000"/>
              <x14:axisColor rgb="FF000000"/>
            </x14:dataBar>
          </x14:cfRule>
          <x14:cfRule type="dataBar" id="{C63A03CD-DD22-4E95-85AE-F200037F33B0}">
            <x14:dataBar minLength="0" maxLength="100" border="1" gradient="0">
              <x14:cfvo type="auto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N31:N36</xm:sqref>
        </x14:conditionalFormatting>
        <x14:conditionalFormatting xmlns:xm="http://schemas.microsoft.com/office/excel/2006/main">
          <x14:cfRule type="dataBar" id="{A52E3BC9-9BB6-493C-A329-273DE0E691BD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E8293055-BDA2-45A1-92C3-FA973E009FA0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F0EF683F-305B-421B-A1EE-AD0C79D340E1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N37:N39</xm:sqref>
        </x14:conditionalFormatting>
        <x14:conditionalFormatting xmlns:xm="http://schemas.microsoft.com/office/excel/2006/main">
          <x14:cfRule type="dataBar" id="{F9BBA742-C11B-4EFE-BF63-E9C9A25C9947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0A0EDB28-447C-4D5C-9C0C-D46F42E0B097}">
            <x14:dataBar minLength="0" maxLength="100" gradient="0">
              <x14:cfvo type="num">
                <xm:f>0</xm:f>
              </x14:cfvo>
              <x14:cfvo type="num">
                <xm:f>150</xm:f>
              </x14:cfvo>
              <x14:negativeFillColor rgb="FFFF0000"/>
              <x14:axisColor rgb="FF000000"/>
            </x14:dataBar>
          </x14:cfRule>
          <x14:cfRule type="dataBar" id="{2995122A-C01B-49A3-8B8B-C1F608A71D12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605A6F44-3248-45AF-A02C-3EB2FF67C5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B44:B50</xm:sqref>
        </x14:conditionalFormatting>
        <x14:conditionalFormatting xmlns:xm="http://schemas.microsoft.com/office/excel/2006/main">
          <x14:cfRule type="dataBar" id="{40E92304-1325-4826-BDCA-D00820AF01AF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 tint="-4.9989318521683403E-2"/>
              <x14:negativeFillColor rgb="FFFF0000"/>
              <x14:axisColor rgb="FF000000"/>
            </x14:dataBar>
          </x14:cfRule>
          <x14:cfRule type="dataBar" id="{63EE8774-B4DE-42D0-9BB3-4EBF952C2B82}">
            <x14:dataBar minLength="0" maxLength="100" border="1" gradient="0">
              <x14:cfvo type="auto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B51:B56</xm:sqref>
        </x14:conditionalFormatting>
        <x14:conditionalFormatting xmlns:xm="http://schemas.microsoft.com/office/excel/2006/main">
          <x14:cfRule type="dataBar" id="{44AA159D-DB00-4292-B5D5-2A6B5CD23050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2BAB74DF-72AE-4DA0-B381-37D3CC965B58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E3F7E242-07B8-4A9A-8E3F-841C6E8D984F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B57:B59</xm:sqref>
        </x14:conditionalFormatting>
        <x14:conditionalFormatting xmlns:xm="http://schemas.microsoft.com/office/excel/2006/main">
          <x14:cfRule type="dataBar" id="{AECCBD4F-A8F5-4A41-A12C-7B77EC084FE0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1861CE5C-DD51-4A60-BC46-3E3C296AA7EC}">
            <x14:dataBar minLength="0" maxLength="100" gradient="0">
              <x14:cfvo type="num">
                <xm:f>0</xm:f>
              </x14:cfvo>
              <x14:cfvo type="num">
                <xm:f>150</xm:f>
              </x14:cfvo>
              <x14:negativeFillColor rgb="FFFF0000"/>
              <x14:axisColor rgb="FF000000"/>
            </x14:dataBar>
          </x14:cfRule>
          <x14:cfRule type="dataBar" id="{73EF0062-1082-475A-AB03-7978CC87E224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B8139EE7-AD4E-468A-BDBD-7DEC3024C4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F44:F50</xm:sqref>
        </x14:conditionalFormatting>
        <x14:conditionalFormatting xmlns:xm="http://schemas.microsoft.com/office/excel/2006/main">
          <x14:cfRule type="dataBar" id="{A92AD765-A954-46BA-B3E1-61DEAD1B976A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 tint="-4.9989318521683403E-2"/>
              <x14:negativeFillColor rgb="FFFF0000"/>
              <x14:axisColor rgb="FF000000"/>
            </x14:dataBar>
          </x14:cfRule>
          <x14:cfRule type="dataBar" id="{522363DE-B63D-4861-8701-C2C09D18436F}">
            <x14:dataBar minLength="0" maxLength="100" border="1" gradient="0">
              <x14:cfvo type="auto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F51:F56</xm:sqref>
        </x14:conditionalFormatting>
        <x14:conditionalFormatting xmlns:xm="http://schemas.microsoft.com/office/excel/2006/main">
          <x14:cfRule type="dataBar" id="{9BBF9F5C-2FC8-4894-A66C-52C22C45A1E7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E0FE55F2-230F-4489-94D0-5F5FC681EF55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7AC24A3C-97EB-4B09-AE68-6208C4DDB1B4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F57:F59</xm:sqref>
        </x14:conditionalFormatting>
        <x14:conditionalFormatting xmlns:xm="http://schemas.microsoft.com/office/excel/2006/main">
          <x14:cfRule type="dataBar" id="{6C8A2E50-411C-426A-81A2-5FFBC3CB1514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2E913563-294B-45D6-9880-932CC9C80D1B}">
            <x14:dataBar minLength="0" maxLength="100" gradient="0">
              <x14:cfvo type="num">
                <xm:f>0</xm:f>
              </x14:cfvo>
              <x14:cfvo type="num">
                <xm:f>150</xm:f>
              </x14:cfvo>
              <x14:negativeFillColor rgb="FFFF0000"/>
              <x14:axisColor rgb="FF000000"/>
            </x14:dataBar>
          </x14:cfRule>
          <x14:cfRule type="dataBar" id="{D3A0E29C-0064-492A-8EF1-F3E967B5FC89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5A40B6E5-17B9-4D91-8EB5-B232FAAB6B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J44:J50</xm:sqref>
        </x14:conditionalFormatting>
        <x14:conditionalFormatting xmlns:xm="http://schemas.microsoft.com/office/excel/2006/main">
          <x14:cfRule type="dataBar" id="{0C41ADEB-062A-4BE1-97E5-9221ADB48F5C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 tint="-4.9989318521683403E-2"/>
              <x14:negativeFillColor rgb="FFFF0000"/>
              <x14:axisColor rgb="FF000000"/>
            </x14:dataBar>
          </x14:cfRule>
          <x14:cfRule type="dataBar" id="{3DD39D34-D153-4B80-BA47-FB6A3F735F90}">
            <x14:dataBar minLength="0" maxLength="100" border="1" gradient="0">
              <x14:cfvo type="auto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J51:J56</xm:sqref>
        </x14:conditionalFormatting>
        <x14:conditionalFormatting xmlns:xm="http://schemas.microsoft.com/office/excel/2006/main">
          <x14:cfRule type="dataBar" id="{90CEEF6C-9441-4FEB-828A-D4B34C0845D6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97411373-F95A-49E5-816F-51570F281143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DF5F5FC5-A23F-4ECF-A68C-B4C002B4E11C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J57:J59</xm:sqref>
        </x14:conditionalFormatting>
        <x14:conditionalFormatting xmlns:xm="http://schemas.microsoft.com/office/excel/2006/main">
          <x14:cfRule type="dataBar" id="{AE10B92C-079B-4B18-AB39-D991BE6B402E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1C46E721-12EF-4CD0-8D84-461ABC82826B}">
            <x14:dataBar minLength="0" maxLength="100" gradient="0">
              <x14:cfvo type="num">
                <xm:f>0</xm:f>
              </x14:cfvo>
              <x14:cfvo type="num">
                <xm:f>150</xm:f>
              </x14:cfvo>
              <x14:negativeFillColor rgb="FFFF0000"/>
              <x14:axisColor rgb="FF000000"/>
            </x14:dataBar>
          </x14:cfRule>
          <x14:cfRule type="dataBar" id="{AC1A3142-F20C-4BF3-A3FD-A59F142CF560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5536BEE2-C198-4085-B54A-8621FEC534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N44:N50</xm:sqref>
        </x14:conditionalFormatting>
        <x14:conditionalFormatting xmlns:xm="http://schemas.microsoft.com/office/excel/2006/main">
          <x14:cfRule type="dataBar" id="{CB0BD712-549A-4DB5-A2F9-3FE23C183895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 tint="-4.9989318521683403E-2"/>
              <x14:negativeFillColor rgb="FFFF0000"/>
              <x14:axisColor rgb="FF000000"/>
            </x14:dataBar>
          </x14:cfRule>
          <x14:cfRule type="dataBar" id="{78138C5B-BB94-452D-9306-7287B9F52977}">
            <x14:dataBar minLength="0" maxLength="100" border="1" gradient="0">
              <x14:cfvo type="auto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N51:N56</xm:sqref>
        </x14:conditionalFormatting>
        <x14:conditionalFormatting xmlns:xm="http://schemas.microsoft.com/office/excel/2006/main">
          <x14:cfRule type="dataBar" id="{90D4D219-E5CE-403D-935F-7079D2413412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C25D3CCA-13A5-4787-93BE-B64912360A5F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5092B199-8298-4B2B-A4CF-7E6C9A8D7412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N57:N59</xm:sqref>
        </x14:conditionalFormatting>
        <x14:conditionalFormatting xmlns:xm="http://schemas.microsoft.com/office/excel/2006/main">
          <x14:cfRule type="dataBar" id="{0C214AA2-E0BE-4D81-8840-CF25FE71973C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E0FDCFE8-05A9-4C9E-A86E-8878347C171F}">
            <x14:dataBar minLength="0" maxLength="100" gradient="0">
              <x14:cfvo type="num">
                <xm:f>0</xm:f>
              </x14:cfvo>
              <x14:cfvo type="num">
                <xm:f>150</xm:f>
              </x14:cfvo>
              <x14:negativeFillColor rgb="FFFF0000"/>
              <x14:axisColor rgb="FF000000"/>
            </x14:dataBar>
          </x14:cfRule>
          <x14:cfRule type="dataBar" id="{3E82D52B-B558-4FB4-A256-B22C67AF954F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24CBA708-6B81-47F8-9A63-13963782B1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B64:B70</xm:sqref>
        </x14:conditionalFormatting>
        <x14:conditionalFormatting xmlns:xm="http://schemas.microsoft.com/office/excel/2006/main">
          <x14:cfRule type="dataBar" id="{98B25848-6FE9-4E14-997A-8021792085B5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 tint="-4.9989318521683403E-2"/>
              <x14:negativeFillColor rgb="FFFF0000"/>
              <x14:axisColor rgb="FF000000"/>
            </x14:dataBar>
          </x14:cfRule>
          <x14:cfRule type="dataBar" id="{DE7ED78C-7E47-441D-9BE2-3BC25466FF17}">
            <x14:dataBar minLength="0" maxLength="100" border="1" gradient="0">
              <x14:cfvo type="auto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B71:B76</xm:sqref>
        </x14:conditionalFormatting>
        <x14:conditionalFormatting xmlns:xm="http://schemas.microsoft.com/office/excel/2006/main">
          <x14:cfRule type="dataBar" id="{957646C8-5EAA-4139-AC5D-38FD0A9D3CC5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EFFB71D6-39B0-471C-8DF8-01E4818E0332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97AF1F0F-FE6D-4A59-B5CE-EDFF6E6EA47A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B77:B79</xm:sqref>
        </x14:conditionalFormatting>
        <x14:conditionalFormatting xmlns:xm="http://schemas.microsoft.com/office/excel/2006/main">
          <x14:cfRule type="dataBar" id="{38779BAF-73B2-4B55-91CA-645CD1569A18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A252C1F0-D48E-4D82-8041-49E224172150}">
            <x14:dataBar minLength="0" maxLength="100" gradient="0">
              <x14:cfvo type="num">
                <xm:f>0</xm:f>
              </x14:cfvo>
              <x14:cfvo type="num">
                <xm:f>150</xm:f>
              </x14:cfvo>
              <x14:negativeFillColor rgb="FFFF0000"/>
              <x14:axisColor rgb="FF000000"/>
            </x14:dataBar>
          </x14:cfRule>
          <x14:cfRule type="dataBar" id="{AE4B7FE6-4DA4-4746-B122-5CA8E8FD6775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1DD8BC32-B370-43F9-B513-B40FE7108C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F64:F70</xm:sqref>
        </x14:conditionalFormatting>
        <x14:conditionalFormatting xmlns:xm="http://schemas.microsoft.com/office/excel/2006/main">
          <x14:cfRule type="dataBar" id="{EE76F888-6DEF-442A-B4E3-2A0FBA93C292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 tint="-4.9989318521683403E-2"/>
              <x14:negativeFillColor rgb="FFFF0000"/>
              <x14:axisColor rgb="FF000000"/>
            </x14:dataBar>
          </x14:cfRule>
          <x14:cfRule type="dataBar" id="{DECC5127-E5BB-4DC4-8058-D935558DAAC9}">
            <x14:dataBar minLength="0" maxLength="100" border="1" gradient="0">
              <x14:cfvo type="auto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F71:F76</xm:sqref>
        </x14:conditionalFormatting>
        <x14:conditionalFormatting xmlns:xm="http://schemas.microsoft.com/office/excel/2006/main">
          <x14:cfRule type="dataBar" id="{ABEC3FD8-DAA3-48BD-8A55-AFC4D108A0EA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B60AED1F-2B83-4430-A7B6-6267ACF67B0E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38987EB0-91E2-4502-9E79-EA6C29057ACC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F77:F79</xm:sqref>
        </x14:conditionalFormatting>
        <x14:conditionalFormatting xmlns:xm="http://schemas.microsoft.com/office/excel/2006/main">
          <x14:cfRule type="dataBar" id="{8E4B795A-AD56-441D-A2A7-2C5BD8BBE0A2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03F73354-1C43-43BD-B780-96E763D3A52B}">
            <x14:dataBar minLength="0" maxLength="100" gradient="0">
              <x14:cfvo type="num">
                <xm:f>0</xm:f>
              </x14:cfvo>
              <x14:cfvo type="num">
                <xm:f>150</xm:f>
              </x14:cfvo>
              <x14:negativeFillColor rgb="FFFF0000"/>
              <x14:axisColor rgb="FF000000"/>
            </x14:dataBar>
          </x14:cfRule>
          <x14:cfRule type="dataBar" id="{CA82767D-67C1-4604-803F-7A819F9B5FDA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6A7CB01D-0617-4313-8DBF-36DD720B7B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J64:J70</xm:sqref>
        </x14:conditionalFormatting>
        <x14:conditionalFormatting xmlns:xm="http://schemas.microsoft.com/office/excel/2006/main">
          <x14:cfRule type="dataBar" id="{557594B9-26C9-406E-82B2-CA8DF4092BDD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 tint="-4.9989318521683403E-2"/>
              <x14:negativeFillColor rgb="FFFF0000"/>
              <x14:axisColor rgb="FF000000"/>
            </x14:dataBar>
          </x14:cfRule>
          <x14:cfRule type="dataBar" id="{72BE16CD-C684-43D8-A414-2D89991A27A0}">
            <x14:dataBar minLength="0" maxLength="100" border="1" gradient="0">
              <x14:cfvo type="auto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J71:J76</xm:sqref>
        </x14:conditionalFormatting>
        <x14:conditionalFormatting xmlns:xm="http://schemas.microsoft.com/office/excel/2006/main">
          <x14:cfRule type="dataBar" id="{85D061B8-5283-4CF1-98CF-D499C3C35D62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C335D03E-681F-4989-B733-1CA580CEFF77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09223B75-C5ED-4683-9EAA-0C75199DFDD2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J77:J79</xm:sqref>
        </x14:conditionalFormatting>
        <x14:conditionalFormatting xmlns:xm="http://schemas.microsoft.com/office/excel/2006/main">
          <x14:cfRule type="dataBar" id="{49938006-D049-4C3E-9932-F837B0931880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BAEDBA01-B7BF-442F-BE01-095F12E95A96}">
            <x14:dataBar minLength="0" maxLength="100" gradient="0">
              <x14:cfvo type="num">
                <xm:f>0</xm:f>
              </x14:cfvo>
              <x14:cfvo type="num">
                <xm:f>150</xm:f>
              </x14:cfvo>
              <x14:negativeFillColor rgb="FFFF0000"/>
              <x14:axisColor rgb="FF000000"/>
            </x14:dataBar>
          </x14:cfRule>
          <x14:cfRule type="dataBar" id="{550807F5-A145-4F74-BA0F-0C33103DF218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D0B2F7F4-04FF-4FBE-B6A3-6B789E6FDA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N64:N70</xm:sqref>
        </x14:conditionalFormatting>
        <x14:conditionalFormatting xmlns:xm="http://schemas.microsoft.com/office/excel/2006/main">
          <x14:cfRule type="dataBar" id="{FA156508-15B5-43AF-A861-7930CA697819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 tint="-4.9989318521683403E-2"/>
              <x14:negativeFillColor rgb="FFFF0000"/>
              <x14:axisColor rgb="FF000000"/>
            </x14:dataBar>
          </x14:cfRule>
          <x14:cfRule type="dataBar" id="{92E3DB08-6AD9-493C-9117-35399E7C294F}">
            <x14:dataBar minLength="0" maxLength="100" border="1" gradient="0">
              <x14:cfvo type="auto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N71:N76</xm:sqref>
        </x14:conditionalFormatting>
        <x14:conditionalFormatting xmlns:xm="http://schemas.microsoft.com/office/excel/2006/main">
          <x14:cfRule type="dataBar" id="{9626B2BE-BD6C-4A6A-A466-8635F321CA56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57E26DAE-F22F-44D5-B0B7-AF54D1F35B51}">
            <x14:dataBar minLength="0" maxLength="100" border="1" gradient="0">
              <x14:cfvo type="num">
                <xm:f>0</xm:f>
              </x14:cfvo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14:cfRule type="dataBar" id="{02C5DACF-FC86-4F35-854B-112F1265811C}">
            <x14:dataBar minLength="0" maxLength="100" border="1" gradient="0">
              <x14:cfvo type="min"/>
              <x14:cfvo type="num">
                <xm:f>150</xm:f>
              </x14:cfvo>
              <x14:borderColor theme="0"/>
              <x14:negativeFillColor rgb="FFFF0000"/>
              <x14:axisColor rgb="FF000000"/>
            </x14:dataBar>
          </x14:cfRule>
          <xm:sqref>N77:N79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12F63-0515-405F-9264-F3110F34C72F}">
  <sheetPr codeName="Planilha12"/>
  <dimension ref="A1:AN230"/>
  <sheetViews>
    <sheetView topLeftCell="L55" zoomScale="67" zoomScaleNormal="40" workbookViewId="0">
      <selection activeCell="AG187" sqref="AG187"/>
    </sheetView>
  </sheetViews>
  <sheetFormatPr defaultRowHeight="14.4" x14ac:dyDescent="0.3"/>
  <sheetData>
    <row r="1" spans="1:40" x14ac:dyDescent="0.3">
      <c r="A1" s="177"/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</row>
    <row r="2" spans="1:40" x14ac:dyDescent="0.3">
      <c r="A2" s="177"/>
      <c r="B2" s="177"/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77"/>
      <c r="AF2" s="177"/>
      <c r="AG2" s="177"/>
      <c r="AH2" s="177"/>
      <c r="AI2" s="177"/>
      <c r="AJ2" s="177"/>
      <c r="AK2" s="177"/>
      <c r="AL2" s="177"/>
      <c r="AM2" s="177"/>
      <c r="AN2" s="177"/>
    </row>
    <row r="3" spans="1:40" x14ac:dyDescent="0.3">
      <c r="A3" s="177"/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  <c r="X3" s="177"/>
      <c r="Y3" s="177"/>
      <c r="Z3" s="177"/>
      <c r="AA3" s="177"/>
      <c r="AB3" s="177"/>
      <c r="AC3" s="177"/>
      <c r="AD3" s="177"/>
      <c r="AE3" s="177"/>
      <c r="AF3" s="177"/>
      <c r="AG3" s="177"/>
      <c r="AH3" s="177"/>
      <c r="AI3" s="177"/>
      <c r="AJ3" s="177"/>
      <c r="AK3" s="177"/>
      <c r="AL3" s="177"/>
      <c r="AM3" s="177"/>
      <c r="AN3" s="177"/>
    </row>
    <row r="4" spans="1:40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</row>
    <row r="5" spans="1:40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</row>
    <row r="6" spans="1:40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</row>
    <row r="7" spans="1:40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</row>
    <row r="8" spans="1:40" x14ac:dyDescent="0.3">
      <c r="A8" s="177"/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77"/>
      <c r="U8" s="177"/>
      <c r="V8" s="177"/>
      <c r="W8" s="177"/>
      <c r="X8" s="177"/>
      <c r="Y8" s="177"/>
      <c r="Z8" s="177"/>
      <c r="AA8" s="177"/>
      <c r="AB8" s="177"/>
      <c r="AC8" s="177"/>
      <c r="AD8" s="177"/>
      <c r="AE8" s="177"/>
      <c r="AF8" s="177"/>
      <c r="AG8" s="177"/>
      <c r="AH8" s="177"/>
      <c r="AI8" s="177"/>
      <c r="AJ8" s="177"/>
      <c r="AK8" s="177"/>
      <c r="AL8" s="177"/>
      <c r="AM8" s="177"/>
      <c r="AN8" s="177"/>
    </row>
    <row r="9" spans="1:40" x14ac:dyDescent="0.3">
      <c r="A9" s="177"/>
      <c r="B9" s="177"/>
      <c r="C9" s="177"/>
      <c r="D9" s="177"/>
      <c r="E9" s="177"/>
      <c r="F9" s="177"/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  <c r="R9" s="177"/>
      <c r="S9" s="177"/>
      <c r="T9" s="177"/>
      <c r="U9" s="177"/>
      <c r="V9" s="177"/>
      <c r="W9" s="177"/>
      <c r="X9" s="177"/>
      <c r="Y9" s="177"/>
      <c r="Z9" s="177"/>
      <c r="AA9" s="177"/>
      <c r="AB9" s="177"/>
      <c r="AC9" s="177"/>
      <c r="AD9" s="177"/>
      <c r="AE9" s="177"/>
      <c r="AF9" s="177"/>
      <c r="AG9" s="177"/>
      <c r="AH9" s="177"/>
      <c r="AI9" s="177"/>
      <c r="AJ9" s="177"/>
      <c r="AK9" s="177"/>
      <c r="AL9" s="177"/>
      <c r="AM9" s="177"/>
      <c r="AN9" s="177"/>
    </row>
    <row r="10" spans="1:40" x14ac:dyDescent="0.3">
      <c r="A10" s="177"/>
      <c r="B10" s="177"/>
      <c r="C10" s="177"/>
      <c r="D10" s="177"/>
      <c r="E10" s="177"/>
      <c r="F10" s="177"/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</row>
    <row r="11" spans="1:40" x14ac:dyDescent="0.3">
      <c r="A11" s="177"/>
      <c r="B11" s="177"/>
      <c r="C11" s="177"/>
      <c r="D11" s="177"/>
      <c r="E11" s="177"/>
      <c r="F11" s="177"/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  <c r="R11" s="177"/>
      <c r="S11" s="177"/>
      <c r="T11" s="177"/>
      <c r="U11" s="177"/>
      <c r="V11" s="177"/>
      <c r="W11" s="177"/>
      <c r="X11" s="177"/>
      <c r="Y11" s="177"/>
      <c r="Z11" s="177"/>
      <c r="AA11" s="177"/>
      <c r="AB11" s="177"/>
      <c r="AC11" s="177"/>
      <c r="AD11" s="177"/>
      <c r="AE11" s="177"/>
      <c r="AF11" s="177"/>
      <c r="AG11" s="177"/>
      <c r="AH11" s="177"/>
      <c r="AI11" s="177"/>
      <c r="AJ11" s="177"/>
      <c r="AK11" s="177"/>
      <c r="AL11" s="177"/>
      <c r="AM11" s="177"/>
      <c r="AN11" s="177"/>
    </row>
    <row r="12" spans="1:40" x14ac:dyDescent="0.3">
      <c r="A12" s="177"/>
      <c r="B12" s="177"/>
      <c r="C12" s="177"/>
      <c r="D12" s="177"/>
      <c r="E12" s="177"/>
      <c r="F12" s="177"/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</row>
    <row r="13" spans="1:40" x14ac:dyDescent="0.3">
      <c r="A13" s="177"/>
      <c r="B13" s="177"/>
      <c r="C13" s="177"/>
      <c r="D13" s="177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</row>
    <row r="14" spans="1:40" x14ac:dyDescent="0.3">
      <c r="A14" s="177"/>
      <c r="B14" s="177"/>
      <c r="C14" s="177"/>
      <c r="D14" s="177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  <c r="R14" s="177"/>
      <c r="S14" s="177"/>
      <c r="T14" s="177"/>
      <c r="U14" s="177"/>
      <c r="V14" s="177"/>
      <c r="W14" s="177"/>
      <c r="X14" s="177"/>
      <c r="Y14" s="177"/>
      <c r="Z14" s="177"/>
      <c r="AA14" s="177"/>
      <c r="AB14" s="177"/>
      <c r="AC14" s="177"/>
      <c r="AD14" s="177"/>
      <c r="AE14" s="177"/>
      <c r="AF14" s="177"/>
      <c r="AG14" s="177"/>
      <c r="AH14" s="177"/>
      <c r="AI14" s="177"/>
      <c r="AJ14" s="177"/>
      <c r="AK14" s="177"/>
      <c r="AL14" s="177"/>
      <c r="AM14" s="177"/>
      <c r="AN14" s="177"/>
    </row>
    <row r="15" spans="1:40" ht="14.4" customHeight="1" x14ac:dyDescent="0.3">
      <c r="A15" s="177"/>
      <c r="B15" s="177"/>
      <c r="C15" s="177"/>
      <c r="D15" s="177"/>
      <c r="E15" s="177"/>
      <c r="F15" s="177"/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  <c r="R15" s="177"/>
      <c r="S15" s="177"/>
      <c r="T15" s="177"/>
      <c r="U15" s="177"/>
      <c r="V15" s="177"/>
      <c r="W15" s="177"/>
      <c r="X15" s="177"/>
      <c r="Y15" s="177"/>
      <c r="Z15" s="177"/>
      <c r="AA15" s="177"/>
      <c r="AB15" s="177"/>
      <c r="AC15" s="177"/>
      <c r="AD15" s="177"/>
      <c r="AE15" s="177"/>
      <c r="AF15" s="177"/>
      <c r="AG15" s="177"/>
      <c r="AH15" s="177"/>
      <c r="AI15" s="177"/>
      <c r="AJ15" s="177"/>
      <c r="AK15" s="177"/>
      <c r="AL15" s="177"/>
      <c r="AM15" s="177"/>
      <c r="AN15" s="177"/>
    </row>
    <row r="16" spans="1:40" x14ac:dyDescent="0.3">
      <c r="A16" s="177"/>
      <c r="B16" s="177"/>
      <c r="C16" s="177"/>
      <c r="D16" s="177"/>
      <c r="E16" s="177"/>
      <c r="F16" s="177"/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  <c r="R16" s="177"/>
      <c r="S16" s="177"/>
      <c r="T16" s="177"/>
      <c r="U16" s="177"/>
      <c r="V16" s="177"/>
      <c r="W16" s="177"/>
      <c r="X16" s="177"/>
      <c r="Y16" s="177"/>
      <c r="Z16" s="177"/>
      <c r="AA16" s="177"/>
      <c r="AB16" s="177"/>
      <c r="AC16" s="177"/>
      <c r="AD16" s="177"/>
      <c r="AE16" s="177"/>
      <c r="AF16" s="177"/>
      <c r="AG16" s="177"/>
      <c r="AH16" s="177"/>
      <c r="AI16" s="177"/>
      <c r="AJ16" s="177"/>
      <c r="AK16" s="177"/>
      <c r="AL16" s="177"/>
      <c r="AM16" s="177"/>
      <c r="AN16" s="177"/>
    </row>
    <row r="17" spans="1:40" x14ac:dyDescent="0.3">
      <c r="A17" s="177"/>
      <c r="B17" s="177"/>
      <c r="C17" s="177"/>
      <c r="D17" s="177"/>
      <c r="E17" s="177"/>
      <c r="F17" s="177"/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  <c r="R17" s="177"/>
      <c r="S17" s="177"/>
      <c r="T17" s="177"/>
      <c r="U17" s="177"/>
      <c r="V17" s="177"/>
      <c r="W17" s="177"/>
      <c r="X17" s="177"/>
      <c r="Y17" s="177"/>
      <c r="Z17" s="177"/>
      <c r="AA17" s="177"/>
      <c r="AB17" s="177"/>
      <c r="AC17" s="177"/>
      <c r="AD17" s="177"/>
      <c r="AE17" s="177"/>
      <c r="AF17" s="177"/>
      <c r="AG17" s="177"/>
      <c r="AH17" s="177"/>
      <c r="AI17" s="177"/>
      <c r="AJ17" s="177"/>
      <c r="AK17" s="177"/>
      <c r="AL17" s="177"/>
      <c r="AM17" s="177"/>
      <c r="AN17" s="177"/>
    </row>
    <row r="18" spans="1:40" x14ac:dyDescent="0.3">
      <c r="A18" s="177"/>
      <c r="B18" s="177"/>
      <c r="C18" s="177"/>
      <c r="D18" s="177"/>
      <c r="E18" s="177"/>
      <c r="F18" s="177"/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  <c r="R18" s="177"/>
      <c r="S18" s="177"/>
      <c r="T18" s="177"/>
      <c r="U18" s="177"/>
      <c r="V18" s="177"/>
      <c r="W18" s="177"/>
      <c r="X18" s="177"/>
      <c r="Y18" s="177"/>
      <c r="Z18" s="177"/>
      <c r="AA18" s="177"/>
      <c r="AB18" s="177"/>
      <c r="AC18" s="177"/>
      <c r="AD18" s="177"/>
      <c r="AE18" s="177"/>
      <c r="AF18" s="177"/>
      <c r="AG18" s="177"/>
      <c r="AH18" s="177"/>
      <c r="AI18" s="177"/>
      <c r="AJ18" s="177"/>
      <c r="AK18" s="177"/>
      <c r="AL18" s="177"/>
      <c r="AM18" s="177"/>
      <c r="AN18" s="177"/>
    </row>
    <row r="19" spans="1:40" x14ac:dyDescent="0.3">
      <c r="A19" s="177"/>
      <c r="B19" s="177"/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  <c r="AI19" s="177"/>
      <c r="AJ19" s="177"/>
      <c r="AK19" s="177"/>
      <c r="AL19" s="177"/>
      <c r="AM19" s="177"/>
      <c r="AN19" s="177"/>
    </row>
    <row r="20" spans="1:40" x14ac:dyDescent="0.3">
      <c r="A20" s="177"/>
      <c r="B20" s="177"/>
      <c r="C20" s="177"/>
      <c r="D20" s="177"/>
      <c r="E20" s="177"/>
      <c r="F20" s="177"/>
      <c r="G20" s="177"/>
      <c r="H20" s="177"/>
      <c r="I20" s="177"/>
      <c r="J20" s="177"/>
      <c r="K20" s="177"/>
      <c r="L20" s="177"/>
      <c r="M20" s="177"/>
      <c r="N20" s="177"/>
      <c r="O20" s="177"/>
      <c r="P20" s="177"/>
      <c r="Q20" s="177"/>
      <c r="R20" s="177"/>
      <c r="S20" s="177"/>
      <c r="T20" s="177"/>
      <c r="U20" s="177"/>
      <c r="V20" s="177"/>
      <c r="W20" s="177"/>
      <c r="X20" s="177"/>
      <c r="Y20" s="177"/>
      <c r="Z20" s="177"/>
      <c r="AA20" s="177"/>
      <c r="AB20" s="177"/>
      <c r="AC20" s="177"/>
      <c r="AD20" s="177"/>
      <c r="AE20" s="177"/>
      <c r="AF20" s="177"/>
      <c r="AG20" s="177"/>
      <c r="AH20" s="177"/>
      <c r="AI20" s="177"/>
      <c r="AJ20" s="177"/>
      <c r="AK20" s="177"/>
      <c r="AL20" s="177"/>
      <c r="AM20" s="177"/>
      <c r="AN20" s="177"/>
    </row>
    <row r="21" spans="1:40" x14ac:dyDescent="0.3">
      <c r="A21" s="177"/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</row>
    <row r="22" spans="1:40" x14ac:dyDescent="0.3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  <c r="AH22" s="177"/>
      <c r="AI22" s="177"/>
      <c r="AJ22" s="177"/>
      <c r="AK22" s="177"/>
      <c r="AL22" s="177"/>
      <c r="AM22" s="177"/>
      <c r="AN22" s="177"/>
    </row>
    <row r="23" spans="1:40" x14ac:dyDescent="0.3">
      <c r="A23" s="177"/>
      <c r="B23" s="177"/>
      <c r="C23" s="177"/>
      <c r="D23" s="177"/>
      <c r="E23" s="177"/>
      <c r="F23" s="177"/>
      <c r="G23" s="177"/>
      <c r="H23" s="177"/>
      <c r="I23" s="177"/>
      <c r="J23" s="177"/>
      <c r="K23" s="177"/>
      <c r="L23" s="177"/>
      <c r="M23" s="177"/>
      <c r="N23" s="177"/>
      <c r="O23" s="177"/>
      <c r="P23" s="177"/>
      <c r="Q23" s="177"/>
      <c r="R23" s="177"/>
      <c r="S23" s="177"/>
      <c r="T23" s="177"/>
      <c r="U23" s="177"/>
      <c r="V23" s="177"/>
      <c r="W23" s="177"/>
      <c r="X23" s="177"/>
      <c r="Y23" s="177"/>
      <c r="Z23" s="177"/>
      <c r="AA23" s="177"/>
      <c r="AB23" s="177"/>
      <c r="AC23" s="177"/>
      <c r="AD23" s="177"/>
      <c r="AE23" s="177"/>
      <c r="AF23" s="177"/>
      <c r="AG23" s="177"/>
      <c r="AH23" s="177"/>
      <c r="AI23" s="177"/>
      <c r="AJ23" s="177"/>
      <c r="AK23" s="177"/>
      <c r="AL23" s="177"/>
      <c r="AM23" s="177"/>
      <c r="AN23" s="177"/>
    </row>
    <row r="24" spans="1:40" x14ac:dyDescent="0.3">
      <c r="A24" s="177"/>
      <c r="B24" s="177"/>
      <c r="C24" s="177"/>
      <c r="D24" s="177"/>
      <c r="E24" s="177"/>
      <c r="F24" s="177"/>
      <c r="G24" s="177"/>
      <c r="H24" s="177"/>
      <c r="I24" s="177"/>
      <c r="J24" s="177"/>
      <c r="K24" s="177"/>
      <c r="L24" s="177"/>
      <c r="M24" s="177"/>
      <c r="N24" s="177"/>
      <c r="O24" s="177"/>
      <c r="P24" s="177"/>
      <c r="Q24" s="177"/>
      <c r="R24" s="177"/>
      <c r="S24" s="177"/>
      <c r="T24" s="177"/>
      <c r="U24" s="177"/>
      <c r="V24" s="177"/>
      <c r="W24" s="177"/>
      <c r="X24" s="177"/>
      <c r="Y24" s="177"/>
      <c r="Z24" s="177"/>
      <c r="AA24" s="177"/>
      <c r="AB24" s="177"/>
      <c r="AC24" s="177"/>
      <c r="AD24" s="177"/>
      <c r="AE24" s="177"/>
      <c r="AF24" s="177"/>
      <c r="AG24" s="177"/>
      <c r="AH24" s="177"/>
      <c r="AI24" s="177"/>
      <c r="AJ24" s="177"/>
      <c r="AK24" s="177"/>
      <c r="AL24" s="177"/>
      <c r="AM24" s="177"/>
      <c r="AN24" s="177"/>
    </row>
    <row r="25" spans="1:40" x14ac:dyDescent="0.3">
      <c r="A25" s="177"/>
      <c r="B25" s="177"/>
      <c r="C25" s="177"/>
      <c r="D25" s="177"/>
      <c r="E25" s="177"/>
      <c r="F25" s="177"/>
      <c r="G25" s="177"/>
      <c r="H25" s="177"/>
      <c r="I25" s="177"/>
      <c r="J25" s="177"/>
      <c r="K25" s="177"/>
      <c r="L25" s="177"/>
      <c r="M25" s="177"/>
      <c r="N25" s="177"/>
      <c r="O25" s="177"/>
      <c r="P25" s="177"/>
      <c r="Q25" s="177"/>
      <c r="R25" s="177"/>
      <c r="S25" s="177"/>
      <c r="T25" s="177"/>
      <c r="U25" s="177"/>
      <c r="V25" s="177"/>
      <c r="W25" s="177"/>
      <c r="X25" s="177"/>
      <c r="Y25" s="177"/>
      <c r="Z25" s="177"/>
      <c r="AA25" s="177"/>
      <c r="AB25" s="177"/>
      <c r="AC25" s="177"/>
      <c r="AD25" s="177"/>
      <c r="AE25" s="177"/>
      <c r="AF25" s="177"/>
      <c r="AG25" s="177"/>
      <c r="AH25" s="177"/>
      <c r="AI25" s="177"/>
      <c r="AJ25" s="177"/>
      <c r="AK25" s="177"/>
      <c r="AL25" s="177"/>
      <c r="AM25" s="177"/>
      <c r="AN25" s="177"/>
    </row>
    <row r="26" spans="1:40" x14ac:dyDescent="0.3">
      <c r="A26" s="177"/>
      <c r="B26" s="177"/>
      <c r="C26" s="177"/>
      <c r="D26" s="177"/>
      <c r="E26" s="177"/>
      <c r="F26" s="177"/>
      <c r="G26" s="177"/>
      <c r="H26" s="177"/>
      <c r="I26" s="177"/>
      <c r="J26" s="177"/>
      <c r="K26" s="177"/>
      <c r="L26" s="177"/>
      <c r="M26" s="177"/>
      <c r="N26" s="177"/>
      <c r="O26" s="177"/>
      <c r="P26" s="177"/>
      <c r="Q26" s="177"/>
      <c r="R26" s="177"/>
      <c r="S26" s="177"/>
      <c r="T26" s="177"/>
      <c r="U26" s="177"/>
      <c r="V26" s="177"/>
      <c r="W26" s="177"/>
      <c r="X26" s="177"/>
      <c r="Y26" s="177"/>
      <c r="Z26" s="177"/>
      <c r="AA26" s="177"/>
      <c r="AB26" s="177"/>
      <c r="AC26" s="177"/>
      <c r="AD26" s="177"/>
      <c r="AE26" s="177"/>
      <c r="AF26" s="177"/>
      <c r="AG26" s="177"/>
      <c r="AH26" s="177"/>
      <c r="AI26" s="177"/>
      <c r="AJ26" s="177"/>
      <c r="AK26" s="177"/>
      <c r="AL26" s="177"/>
      <c r="AM26" s="177"/>
      <c r="AN26" s="177"/>
    </row>
    <row r="27" spans="1:40" x14ac:dyDescent="0.3">
      <c r="A27" s="177"/>
      <c r="B27" s="177"/>
      <c r="C27" s="177"/>
      <c r="D27" s="177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  <c r="R27" s="177"/>
      <c r="S27" s="177"/>
      <c r="T27" s="177"/>
      <c r="U27" s="177"/>
      <c r="V27" s="177"/>
      <c r="W27" s="177"/>
      <c r="X27" s="177"/>
      <c r="Y27" s="177"/>
      <c r="Z27" s="177"/>
      <c r="AA27" s="177"/>
      <c r="AB27" s="177"/>
      <c r="AC27" s="177"/>
      <c r="AD27" s="177"/>
      <c r="AE27" s="177"/>
      <c r="AF27" s="177"/>
      <c r="AG27" s="177"/>
      <c r="AH27" s="177"/>
      <c r="AI27" s="177"/>
      <c r="AJ27" s="177"/>
      <c r="AK27" s="177"/>
      <c r="AL27" s="177"/>
      <c r="AM27" s="177"/>
      <c r="AN27" s="177"/>
    </row>
    <row r="28" spans="1:40" x14ac:dyDescent="0.3">
      <c r="A28" s="177"/>
      <c r="B28" s="177"/>
      <c r="C28" s="177"/>
      <c r="D28" s="177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  <c r="R28" s="177"/>
      <c r="S28" s="177"/>
      <c r="T28" s="177"/>
      <c r="U28" s="177"/>
      <c r="V28" s="177"/>
      <c r="W28" s="177"/>
      <c r="X28" s="177"/>
      <c r="Y28" s="177"/>
      <c r="Z28" s="177"/>
      <c r="AA28" s="177"/>
      <c r="AB28" s="177"/>
      <c r="AC28" s="177"/>
      <c r="AD28" s="177"/>
      <c r="AE28" s="177"/>
      <c r="AF28" s="177"/>
      <c r="AG28" s="177"/>
      <c r="AH28" s="177"/>
      <c r="AI28" s="177"/>
      <c r="AJ28" s="177"/>
      <c r="AK28" s="177"/>
      <c r="AL28" s="177"/>
      <c r="AM28" s="177"/>
      <c r="AN28" s="177"/>
    </row>
    <row r="29" spans="1:40" x14ac:dyDescent="0.3">
      <c r="A29" s="177"/>
      <c r="B29" s="177"/>
      <c r="C29" s="177"/>
      <c r="D29" s="177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  <c r="R29" s="177"/>
      <c r="S29" s="177"/>
      <c r="T29" s="177"/>
      <c r="U29" s="177"/>
      <c r="V29" s="177"/>
      <c r="W29" s="177"/>
      <c r="X29" s="177"/>
      <c r="Y29" s="177"/>
      <c r="Z29" s="177"/>
      <c r="AA29" s="177"/>
      <c r="AB29" s="177"/>
      <c r="AC29" s="177"/>
      <c r="AD29" s="177"/>
      <c r="AE29" s="177"/>
      <c r="AF29" s="177"/>
      <c r="AG29" s="177"/>
      <c r="AH29" s="177"/>
      <c r="AI29" s="177"/>
      <c r="AJ29" s="177"/>
      <c r="AK29" s="177"/>
      <c r="AL29" s="177"/>
      <c r="AM29" s="177"/>
      <c r="AN29" s="177"/>
    </row>
    <row r="30" spans="1:40" x14ac:dyDescent="0.3">
      <c r="A30" s="177"/>
      <c r="B30" s="177"/>
      <c r="C30" s="177"/>
      <c r="D30" s="177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  <c r="R30" s="177"/>
      <c r="S30" s="177"/>
      <c r="T30" s="177"/>
      <c r="U30" s="177"/>
      <c r="V30" s="177"/>
      <c r="W30" s="177"/>
      <c r="X30" s="177"/>
      <c r="Y30" s="177"/>
      <c r="Z30" s="177"/>
      <c r="AA30" s="177"/>
      <c r="AB30" s="177"/>
      <c r="AC30" s="177"/>
      <c r="AD30" s="177"/>
      <c r="AE30" s="177"/>
      <c r="AF30" s="177"/>
      <c r="AG30" s="177"/>
      <c r="AH30" s="177"/>
      <c r="AI30" s="177"/>
      <c r="AJ30" s="177"/>
      <c r="AK30" s="177"/>
      <c r="AL30" s="177"/>
      <c r="AM30" s="177"/>
      <c r="AN30" s="177"/>
    </row>
    <row r="31" spans="1:40" x14ac:dyDescent="0.3">
      <c r="A31" s="177"/>
      <c r="B31" s="177"/>
      <c r="C31" s="177"/>
      <c r="D31" s="177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  <c r="R31" s="177"/>
      <c r="S31" s="177"/>
      <c r="T31" s="177"/>
      <c r="U31" s="177"/>
      <c r="V31" s="177"/>
      <c r="W31" s="177"/>
      <c r="X31" s="177"/>
      <c r="Y31" s="177"/>
      <c r="Z31" s="177"/>
      <c r="AA31" s="177"/>
      <c r="AB31" s="177"/>
      <c r="AC31" s="177"/>
      <c r="AD31" s="177"/>
      <c r="AE31" s="177"/>
      <c r="AF31" s="177"/>
      <c r="AG31" s="177"/>
      <c r="AH31" s="177"/>
      <c r="AI31" s="177"/>
      <c r="AJ31" s="177"/>
      <c r="AK31" s="177"/>
      <c r="AL31" s="177"/>
      <c r="AM31" s="177"/>
      <c r="AN31" s="177"/>
    </row>
    <row r="32" spans="1:40" x14ac:dyDescent="0.3">
      <c r="A32" s="177"/>
      <c r="B32" s="177"/>
      <c r="C32" s="177"/>
      <c r="D32" s="177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  <c r="R32" s="177"/>
      <c r="S32" s="177"/>
      <c r="T32" s="177"/>
      <c r="U32" s="177"/>
      <c r="V32" s="177"/>
      <c r="W32" s="177"/>
      <c r="X32" s="177"/>
      <c r="Y32" s="177"/>
      <c r="Z32" s="177"/>
      <c r="AA32" s="177"/>
      <c r="AB32" s="177"/>
      <c r="AC32" s="177"/>
      <c r="AD32" s="177"/>
      <c r="AE32" s="177"/>
      <c r="AF32" s="177"/>
      <c r="AG32" s="177"/>
      <c r="AH32" s="177"/>
      <c r="AI32" s="177"/>
      <c r="AJ32" s="177"/>
      <c r="AK32" s="177"/>
      <c r="AL32" s="177"/>
      <c r="AM32" s="177"/>
      <c r="AN32" s="177"/>
    </row>
    <row r="33" spans="1:40" x14ac:dyDescent="0.3">
      <c r="A33" s="177"/>
      <c r="B33" s="177"/>
      <c r="C33" s="177"/>
      <c r="D33" s="177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  <c r="R33" s="177"/>
      <c r="S33" s="177"/>
      <c r="T33" s="177"/>
      <c r="U33" s="177"/>
      <c r="V33" s="177"/>
      <c r="W33" s="177"/>
      <c r="X33" s="177"/>
      <c r="Y33" s="177"/>
      <c r="Z33" s="177"/>
      <c r="AA33" s="177"/>
      <c r="AB33" s="177"/>
      <c r="AC33" s="177"/>
      <c r="AD33" s="177"/>
      <c r="AE33" s="177"/>
      <c r="AF33" s="177"/>
      <c r="AG33" s="177"/>
      <c r="AH33" s="177"/>
      <c r="AI33" s="177"/>
      <c r="AJ33" s="177"/>
      <c r="AK33" s="177"/>
      <c r="AL33" s="177"/>
      <c r="AM33" s="177"/>
      <c r="AN33" s="177"/>
    </row>
    <row r="34" spans="1:40" x14ac:dyDescent="0.3">
      <c r="A34" s="177"/>
      <c r="B34" s="177"/>
      <c r="C34" s="177"/>
      <c r="D34" s="177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77"/>
      <c r="AF34" s="177"/>
      <c r="AG34" s="177"/>
      <c r="AH34" s="177"/>
      <c r="AI34" s="177"/>
      <c r="AJ34" s="177"/>
      <c r="AK34" s="177"/>
      <c r="AL34" s="177"/>
      <c r="AM34" s="177"/>
      <c r="AN34" s="177"/>
    </row>
    <row r="35" spans="1:40" x14ac:dyDescent="0.3">
      <c r="A35" s="177"/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  <c r="R35" s="177"/>
      <c r="S35" s="177"/>
      <c r="T35" s="177"/>
      <c r="U35" s="177"/>
      <c r="V35" s="177"/>
      <c r="W35" s="177"/>
      <c r="X35" s="177"/>
      <c r="Y35" s="177"/>
      <c r="Z35" s="177"/>
      <c r="AA35" s="177"/>
      <c r="AB35" s="177"/>
      <c r="AC35" s="177"/>
      <c r="AD35" s="177"/>
      <c r="AE35" s="177"/>
      <c r="AF35" s="177"/>
      <c r="AG35" s="177"/>
      <c r="AH35" s="177"/>
      <c r="AI35" s="177"/>
      <c r="AJ35" s="177"/>
      <c r="AK35" s="177"/>
      <c r="AL35" s="177"/>
      <c r="AM35" s="177"/>
      <c r="AN35" s="177"/>
    </row>
    <row r="36" spans="1:40" x14ac:dyDescent="0.3">
      <c r="A36" s="177"/>
      <c r="B36" s="177"/>
      <c r="C36" s="177"/>
      <c r="D36" s="177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  <c r="R36" s="177"/>
      <c r="S36" s="177"/>
      <c r="T36" s="177"/>
      <c r="U36" s="177"/>
      <c r="V36" s="177"/>
      <c r="W36" s="177"/>
      <c r="X36" s="177"/>
      <c r="Y36" s="177"/>
      <c r="Z36" s="177"/>
      <c r="AA36" s="177"/>
      <c r="AB36" s="177"/>
      <c r="AC36" s="177"/>
      <c r="AD36" s="177"/>
      <c r="AE36" s="177"/>
      <c r="AF36" s="177"/>
      <c r="AG36" s="177"/>
      <c r="AH36" s="177"/>
      <c r="AI36" s="177"/>
      <c r="AJ36" s="177"/>
      <c r="AK36" s="177"/>
      <c r="AL36" s="177"/>
      <c r="AM36" s="177"/>
      <c r="AN36" s="177"/>
    </row>
    <row r="37" spans="1:40" x14ac:dyDescent="0.3">
      <c r="A37" s="177"/>
      <c r="B37" s="177"/>
      <c r="C37" s="177"/>
      <c r="D37" s="177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  <c r="R37" s="177"/>
      <c r="S37" s="177"/>
      <c r="T37" s="177"/>
      <c r="U37" s="177"/>
      <c r="V37" s="177"/>
      <c r="W37" s="177"/>
      <c r="X37" s="177"/>
      <c r="Y37" s="177"/>
      <c r="Z37" s="177"/>
      <c r="AA37" s="177"/>
      <c r="AB37" s="177"/>
      <c r="AC37" s="177"/>
      <c r="AD37" s="177"/>
      <c r="AE37" s="177"/>
      <c r="AF37" s="177"/>
      <c r="AG37" s="177"/>
      <c r="AH37" s="177"/>
      <c r="AI37" s="177"/>
      <c r="AJ37" s="177"/>
      <c r="AK37" s="177"/>
      <c r="AL37" s="177"/>
      <c r="AM37" s="177"/>
      <c r="AN37" s="177"/>
    </row>
    <row r="38" spans="1:40" x14ac:dyDescent="0.3">
      <c r="A38" s="177"/>
      <c r="B38" s="177"/>
      <c r="C38" s="177"/>
      <c r="D38" s="177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7"/>
      <c r="Q38" s="177"/>
      <c r="R38" s="177"/>
      <c r="S38" s="177"/>
      <c r="T38" s="177"/>
      <c r="U38" s="177"/>
      <c r="V38" s="177"/>
      <c r="W38" s="177"/>
      <c r="X38" s="177"/>
      <c r="Y38" s="177"/>
      <c r="Z38" s="177"/>
      <c r="AA38" s="177"/>
      <c r="AB38" s="177"/>
      <c r="AC38" s="177"/>
      <c r="AD38" s="177"/>
      <c r="AE38" s="177"/>
      <c r="AF38" s="177"/>
      <c r="AG38" s="177"/>
      <c r="AH38" s="177"/>
      <c r="AI38" s="177"/>
      <c r="AJ38" s="177"/>
      <c r="AK38" s="177"/>
      <c r="AL38" s="177"/>
      <c r="AM38" s="177"/>
      <c r="AN38" s="177"/>
    </row>
    <row r="39" spans="1:40" x14ac:dyDescent="0.3">
      <c r="A39" s="177"/>
      <c r="B39" s="177"/>
      <c r="C39" s="177"/>
      <c r="D39" s="177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  <c r="R39" s="177"/>
      <c r="S39" s="177"/>
      <c r="T39" s="177"/>
      <c r="U39" s="177"/>
      <c r="V39" s="177"/>
      <c r="W39" s="177"/>
      <c r="X39" s="177"/>
      <c r="Y39" s="177"/>
      <c r="Z39" s="177"/>
      <c r="AA39" s="177"/>
      <c r="AB39" s="177"/>
      <c r="AC39" s="177"/>
      <c r="AD39" s="177"/>
      <c r="AE39" s="177"/>
      <c r="AF39" s="177"/>
      <c r="AG39" s="177"/>
      <c r="AH39" s="177"/>
      <c r="AI39" s="177"/>
      <c r="AJ39" s="177"/>
      <c r="AK39" s="177"/>
      <c r="AL39" s="177"/>
      <c r="AM39" s="177"/>
      <c r="AN39" s="177"/>
    </row>
    <row r="40" spans="1:40" x14ac:dyDescent="0.3">
      <c r="A40" s="177"/>
      <c r="B40" s="177"/>
      <c r="C40" s="177"/>
      <c r="D40" s="177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7"/>
      <c r="R40" s="177"/>
      <c r="S40" s="177"/>
      <c r="T40" s="177"/>
      <c r="U40" s="177"/>
      <c r="V40" s="177"/>
      <c r="W40" s="177"/>
      <c r="X40" s="177"/>
      <c r="Y40" s="177"/>
      <c r="Z40" s="177"/>
      <c r="AA40" s="177"/>
      <c r="AB40" s="177"/>
      <c r="AC40" s="177"/>
      <c r="AD40" s="177"/>
      <c r="AE40" s="177"/>
      <c r="AF40" s="177"/>
      <c r="AG40" s="177"/>
      <c r="AH40" s="177"/>
      <c r="AI40" s="177"/>
      <c r="AJ40" s="177"/>
      <c r="AK40" s="177"/>
      <c r="AL40" s="177"/>
      <c r="AM40" s="177"/>
      <c r="AN40" s="177"/>
    </row>
    <row r="41" spans="1:40" x14ac:dyDescent="0.3">
      <c r="A41" s="177"/>
      <c r="B41" s="177"/>
      <c r="C41" s="177"/>
      <c r="D41" s="177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  <c r="R41" s="177"/>
      <c r="S41" s="177"/>
      <c r="T41" s="177"/>
      <c r="U41" s="177"/>
      <c r="V41" s="177"/>
      <c r="W41" s="177"/>
      <c r="X41" s="177"/>
      <c r="Y41" s="177"/>
      <c r="Z41" s="177"/>
      <c r="AA41" s="177"/>
      <c r="AB41" s="177"/>
      <c r="AC41" s="177"/>
      <c r="AD41" s="177"/>
      <c r="AE41" s="177"/>
      <c r="AF41" s="177"/>
      <c r="AG41" s="177"/>
      <c r="AH41" s="177"/>
      <c r="AI41" s="177"/>
      <c r="AJ41" s="177"/>
      <c r="AK41" s="177"/>
      <c r="AL41" s="177"/>
      <c r="AM41" s="177"/>
      <c r="AN41" s="177"/>
    </row>
    <row r="42" spans="1:40" x14ac:dyDescent="0.3">
      <c r="A42" s="177"/>
      <c r="B42" s="177"/>
      <c r="C42" s="177"/>
      <c r="D42" s="177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7"/>
      <c r="Q42" s="177"/>
      <c r="R42" s="177"/>
      <c r="S42" s="177"/>
      <c r="T42" s="177"/>
      <c r="U42" s="177"/>
      <c r="V42" s="177"/>
      <c r="W42" s="177"/>
      <c r="X42" s="177"/>
      <c r="Y42" s="177"/>
      <c r="Z42" s="177"/>
      <c r="AA42" s="177"/>
      <c r="AB42" s="177"/>
      <c r="AC42" s="177"/>
      <c r="AD42" s="177"/>
      <c r="AE42" s="177"/>
      <c r="AF42" s="177"/>
      <c r="AG42" s="177"/>
      <c r="AH42" s="177"/>
      <c r="AI42" s="177"/>
      <c r="AJ42" s="177"/>
      <c r="AK42" s="177"/>
      <c r="AL42" s="177"/>
      <c r="AM42" s="177"/>
      <c r="AN42" s="177"/>
    </row>
    <row r="43" spans="1:40" x14ac:dyDescent="0.3">
      <c r="A43" s="177"/>
      <c r="B43" s="177"/>
      <c r="C43" s="177"/>
      <c r="D43" s="177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  <c r="R43" s="177"/>
      <c r="S43" s="177"/>
      <c r="T43" s="177"/>
      <c r="U43" s="177"/>
      <c r="V43" s="177"/>
      <c r="W43" s="177"/>
      <c r="X43" s="177"/>
      <c r="Y43" s="177"/>
      <c r="Z43" s="177"/>
      <c r="AA43" s="177"/>
      <c r="AB43" s="177"/>
      <c r="AC43" s="177"/>
      <c r="AD43" s="177"/>
      <c r="AE43" s="177"/>
      <c r="AF43" s="177"/>
      <c r="AG43" s="177"/>
      <c r="AH43" s="177"/>
      <c r="AI43" s="177"/>
      <c r="AJ43" s="177"/>
      <c r="AK43" s="177"/>
      <c r="AL43" s="177"/>
      <c r="AM43" s="177"/>
      <c r="AN43" s="177"/>
    </row>
    <row r="44" spans="1:40" x14ac:dyDescent="0.3">
      <c r="A44" s="177"/>
      <c r="B44" s="177"/>
      <c r="C44" s="177"/>
      <c r="D44" s="177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  <c r="R44" s="177"/>
      <c r="S44" s="177"/>
      <c r="T44" s="177"/>
      <c r="U44" s="177"/>
      <c r="V44" s="177"/>
      <c r="W44" s="177"/>
      <c r="X44" s="177"/>
      <c r="Y44" s="177"/>
      <c r="Z44" s="177"/>
      <c r="AA44" s="177"/>
      <c r="AB44" s="177"/>
      <c r="AC44" s="177"/>
      <c r="AD44" s="177"/>
      <c r="AE44" s="177"/>
      <c r="AF44" s="177"/>
      <c r="AG44" s="177"/>
      <c r="AH44" s="177"/>
      <c r="AI44" s="177"/>
      <c r="AJ44" s="177"/>
      <c r="AK44" s="177"/>
      <c r="AL44" s="177"/>
      <c r="AM44" s="177"/>
      <c r="AN44" s="177"/>
    </row>
    <row r="45" spans="1:40" x14ac:dyDescent="0.3">
      <c r="A45" s="177"/>
      <c r="B45" s="177"/>
      <c r="C45" s="177"/>
      <c r="D45" s="177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7"/>
      <c r="Q45" s="177"/>
      <c r="R45" s="177"/>
      <c r="S45" s="177"/>
      <c r="T45" s="177"/>
      <c r="U45" s="177"/>
      <c r="V45" s="177"/>
      <c r="W45" s="177"/>
      <c r="X45" s="177"/>
      <c r="Y45" s="177"/>
      <c r="Z45" s="177"/>
      <c r="AA45" s="177"/>
      <c r="AB45" s="177"/>
      <c r="AC45" s="177"/>
      <c r="AD45" s="177"/>
      <c r="AE45" s="177"/>
      <c r="AF45" s="177"/>
      <c r="AG45" s="177"/>
      <c r="AH45" s="177"/>
      <c r="AI45" s="177"/>
      <c r="AJ45" s="177"/>
      <c r="AK45" s="177"/>
      <c r="AL45" s="177"/>
      <c r="AM45" s="177"/>
      <c r="AN45" s="177"/>
    </row>
    <row r="46" spans="1:40" x14ac:dyDescent="0.3">
      <c r="A46" s="177"/>
      <c r="B46" s="177"/>
      <c r="C46" s="177"/>
      <c r="D46" s="177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  <c r="R46" s="177"/>
      <c r="S46" s="177"/>
      <c r="T46" s="177"/>
      <c r="U46" s="177"/>
      <c r="V46" s="177"/>
      <c r="W46" s="177"/>
      <c r="X46" s="177"/>
      <c r="Y46" s="177"/>
      <c r="Z46" s="177"/>
      <c r="AA46" s="177"/>
      <c r="AB46" s="177"/>
      <c r="AC46" s="177"/>
      <c r="AD46" s="177"/>
      <c r="AE46" s="177"/>
      <c r="AF46" s="177"/>
      <c r="AG46" s="177"/>
      <c r="AH46" s="177"/>
      <c r="AI46" s="177"/>
      <c r="AJ46" s="177"/>
      <c r="AK46" s="177"/>
      <c r="AL46" s="177"/>
      <c r="AM46" s="177"/>
      <c r="AN46" s="177"/>
    </row>
    <row r="47" spans="1:40" x14ac:dyDescent="0.3">
      <c r="A47" s="177"/>
      <c r="B47" s="177"/>
      <c r="C47" s="177"/>
      <c r="D47" s="177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7"/>
      <c r="R47" s="177"/>
      <c r="S47" s="177"/>
      <c r="T47" s="177"/>
      <c r="U47" s="177"/>
      <c r="V47" s="177"/>
      <c r="W47" s="177"/>
      <c r="X47" s="177"/>
      <c r="Y47" s="177"/>
      <c r="Z47" s="177"/>
      <c r="AA47" s="177"/>
      <c r="AB47" s="177"/>
      <c r="AC47" s="177"/>
      <c r="AD47" s="177"/>
      <c r="AE47" s="177"/>
      <c r="AF47" s="177"/>
      <c r="AG47" s="177"/>
      <c r="AH47" s="177"/>
      <c r="AI47" s="177"/>
      <c r="AJ47" s="177"/>
      <c r="AK47" s="177"/>
      <c r="AL47" s="177"/>
      <c r="AM47" s="177"/>
      <c r="AN47" s="177"/>
    </row>
    <row r="48" spans="1:40" x14ac:dyDescent="0.3">
      <c r="A48" s="177"/>
      <c r="B48" s="177"/>
      <c r="C48" s="177"/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  <c r="R48" s="177"/>
      <c r="S48" s="177"/>
      <c r="T48" s="177"/>
      <c r="U48" s="177"/>
      <c r="V48" s="177"/>
      <c r="W48" s="177"/>
      <c r="X48" s="177"/>
      <c r="Y48" s="177"/>
      <c r="Z48" s="177"/>
      <c r="AA48" s="177"/>
      <c r="AB48" s="177"/>
      <c r="AC48" s="177"/>
      <c r="AD48" s="177"/>
      <c r="AE48" s="177"/>
      <c r="AF48" s="177"/>
      <c r="AG48" s="177"/>
      <c r="AH48" s="177"/>
      <c r="AI48" s="177"/>
      <c r="AJ48" s="177"/>
      <c r="AK48" s="177"/>
      <c r="AL48" s="177"/>
      <c r="AM48" s="177"/>
      <c r="AN48" s="177"/>
    </row>
    <row r="49" spans="1:40" x14ac:dyDescent="0.3">
      <c r="A49" s="177"/>
      <c r="B49" s="177"/>
      <c r="C49" s="177"/>
      <c r="D49" s="177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/>
      <c r="R49" s="177"/>
      <c r="S49" s="177"/>
      <c r="T49" s="177"/>
      <c r="U49" s="177"/>
      <c r="V49" s="177"/>
      <c r="W49" s="177"/>
      <c r="X49" s="177"/>
      <c r="Y49" s="177"/>
      <c r="Z49" s="177"/>
      <c r="AA49" s="177"/>
      <c r="AB49" s="177"/>
      <c r="AC49" s="177"/>
      <c r="AD49" s="177"/>
      <c r="AE49" s="177"/>
      <c r="AF49" s="177"/>
      <c r="AG49" s="177"/>
      <c r="AH49" s="177"/>
      <c r="AI49" s="177"/>
      <c r="AJ49" s="177"/>
      <c r="AK49" s="177"/>
      <c r="AL49" s="177"/>
      <c r="AM49" s="177"/>
      <c r="AN49" s="177"/>
    </row>
    <row r="50" spans="1:40" x14ac:dyDescent="0.3">
      <c r="A50" s="177"/>
      <c r="B50" s="177"/>
      <c r="C50" s="177"/>
      <c r="D50" s="177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  <c r="R50" s="177"/>
      <c r="S50" s="177"/>
      <c r="T50" s="177"/>
      <c r="U50" s="177"/>
      <c r="V50" s="177"/>
      <c r="W50" s="177"/>
      <c r="X50" s="177"/>
      <c r="Y50" s="177"/>
      <c r="Z50" s="177"/>
      <c r="AA50" s="177"/>
      <c r="AB50" s="177"/>
      <c r="AC50" s="177"/>
      <c r="AD50" s="177"/>
      <c r="AE50" s="177"/>
      <c r="AF50" s="177"/>
      <c r="AG50" s="177"/>
      <c r="AH50" s="177"/>
      <c r="AI50" s="177"/>
      <c r="AJ50" s="177"/>
      <c r="AK50" s="177"/>
      <c r="AL50" s="177"/>
      <c r="AM50" s="177"/>
      <c r="AN50" s="177"/>
    </row>
    <row r="51" spans="1:40" x14ac:dyDescent="0.3">
      <c r="A51" s="177"/>
      <c r="B51" s="177"/>
      <c r="C51" s="177"/>
      <c r="D51" s="177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77"/>
      <c r="AF51" s="177"/>
      <c r="AG51" s="177"/>
      <c r="AH51" s="177"/>
      <c r="AI51" s="177"/>
      <c r="AJ51" s="177"/>
      <c r="AK51" s="177"/>
      <c r="AL51" s="177"/>
      <c r="AM51" s="177"/>
      <c r="AN51" s="177"/>
    </row>
    <row r="52" spans="1:40" x14ac:dyDescent="0.3">
      <c r="A52" s="177"/>
      <c r="B52" s="177"/>
      <c r="C52" s="177"/>
      <c r="D52" s="177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  <c r="R52" s="177"/>
      <c r="S52" s="177"/>
      <c r="T52" s="177"/>
      <c r="U52" s="177"/>
      <c r="V52" s="177"/>
      <c r="W52" s="177"/>
      <c r="X52" s="177"/>
      <c r="Y52" s="177"/>
      <c r="Z52" s="177"/>
      <c r="AA52" s="177"/>
      <c r="AB52" s="177"/>
      <c r="AC52" s="177"/>
      <c r="AD52" s="177"/>
      <c r="AE52" s="177"/>
      <c r="AF52" s="177"/>
      <c r="AG52" s="177"/>
      <c r="AH52" s="177"/>
      <c r="AI52" s="177"/>
      <c r="AJ52" s="177"/>
      <c r="AK52" s="177"/>
      <c r="AL52" s="177"/>
      <c r="AM52" s="177"/>
      <c r="AN52" s="177"/>
    </row>
    <row r="53" spans="1:40" x14ac:dyDescent="0.3">
      <c r="A53" s="177"/>
      <c r="B53" s="177"/>
      <c r="C53" s="177"/>
      <c r="D53" s="177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  <c r="R53" s="177"/>
      <c r="S53" s="177"/>
      <c r="T53" s="177"/>
      <c r="U53" s="177"/>
      <c r="V53" s="177"/>
      <c r="W53" s="177"/>
      <c r="X53" s="177"/>
      <c r="Y53" s="177"/>
      <c r="Z53" s="177"/>
      <c r="AA53" s="177"/>
      <c r="AB53" s="177"/>
      <c r="AC53" s="177"/>
      <c r="AD53" s="177"/>
      <c r="AE53" s="177"/>
      <c r="AF53" s="177"/>
      <c r="AG53" s="177"/>
      <c r="AH53" s="177"/>
      <c r="AI53" s="177"/>
      <c r="AJ53" s="177"/>
      <c r="AK53" s="177"/>
      <c r="AL53" s="177"/>
      <c r="AM53" s="177"/>
      <c r="AN53" s="177"/>
    </row>
    <row r="54" spans="1:40" x14ac:dyDescent="0.3">
      <c r="A54" s="177"/>
      <c r="B54" s="177"/>
      <c r="C54" s="177"/>
      <c r="D54" s="177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  <c r="R54" s="177"/>
      <c r="S54" s="177"/>
      <c r="T54" s="177"/>
      <c r="U54" s="177"/>
      <c r="V54" s="177"/>
      <c r="W54" s="177"/>
      <c r="X54" s="177"/>
      <c r="Y54" s="177"/>
      <c r="Z54" s="177"/>
      <c r="AA54" s="177"/>
      <c r="AB54" s="177"/>
      <c r="AC54" s="177"/>
      <c r="AD54" s="177"/>
      <c r="AE54" s="177"/>
      <c r="AF54" s="177"/>
      <c r="AG54" s="177"/>
      <c r="AH54" s="177"/>
      <c r="AI54" s="177"/>
      <c r="AJ54" s="177"/>
      <c r="AK54" s="177"/>
      <c r="AL54" s="177"/>
      <c r="AM54" s="177"/>
      <c r="AN54" s="177"/>
    </row>
    <row r="55" spans="1:40" x14ac:dyDescent="0.3">
      <c r="A55" s="177"/>
      <c r="B55" s="177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7"/>
      <c r="V55" s="177"/>
      <c r="W55" s="177"/>
      <c r="X55" s="177"/>
      <c r="Y55" s="177"/>
      <c r="Z55" s="177"/>
      <c r="AA55" s="177"/>
      <c r="AB55" s="177"/>
      <c r="AC55" s="177"/>
      <c r="AD55" s="177"/>
      <c r="AE55" s="177"/>
      <c r="AF55" s="177"/>
      <c r="AG55" s="177"/>
      <c r="AH55" s="177"/>
      <c r="AI55" s="177"/>
      <c r="AJ55" s="177"/>
      <c r="AK55" s="177"/>
      <c r="AL55" s="177"/>
      <c r="AM55" s="177"/>
      <c r="AN55" s="177"/>
    </row>
    <row r="56" spans="1:40" x14ac:dyDescent="0.3">
      <c r="A56" s="177"/>
      <c r="B56" s="177"/>
      <c r="C56" s="177"/>
      <c r="D56" s="177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  <c r="R56" s="177"/>
      <c r="S56" s="177"/>
      <c r="T56" s="177"/>
      <c r="U56" s="177"/>
      <c r="V56" s="177"/>
      <c r="W56" s="177"/>
      <c r="X56" s="177"/>
      <c r="Y56" s="177"/>
      <c r="Z56" s="177"/>
      <c r="AA56" s="177"/>
      <c r="AB56" s="177"/>
      <c r="AC56" s="177"/>
      <c r="AD56" s="177"/>
      <c r="AE56" s="177"/>
      <c r="AF56" s="177"/>
      <c r="AG56" s="177"/>
      <c r="AH56" s="177"/>
      <c r="AI56" s="177"/>
      <c r="AJ56" s="177"/>
      <c r="AK56" s="177"/>
      <c r="AL56" s="177"/>
      <c r="AM56" s="177"/>
      <c r="AN56" s="177"/>
    </row>
    <row r="57" spans="1:40" x14ac:dyDescent="0.3">
      <c r="A57" s="177"/>
      <c r="B57" s="177"/>
      <c r="C57" s="177"/>
      <c r="D57" s="177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  <c r="R57" s="177"/>
      <c r="S57" s="177"/>
      <c r="T57" s="177"/>
      <c r="U57" s="177"/>
      <c r="V57" s="177"/>
      <c r="W57" s="177"/>
      <c r="X57" s="177"/>
      <c r="Y57" s="177"/>
      <c r="Z57" s="177"/>
      <c r="AA57" s="177"/>
      <c r="AB57" s="177"/>
      <c r="AC57" s="177"/>
      <c r="AD57" s="177"/>
      <c r="AE57" s="177"/>
      <c r="AF57" s="177"/>
      <c r="AG57" s="177"/>
      <c r="AH57" s="177"/>
      <c r="AI57" s="177"/>
      <c r="AJ57" s="177"/>
      <c r="AK57" s="177"/>
      <c r="AL57" s="177"/>
      <c r="AM57" s="177"/>
      <c r="AN57" s="177"/>
    </row>
    <row r="58" spans="1:40" x14ac:dyDescent="0.3">
      <c r="A58" s="177"/>
      <c r="B58" s="177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7"/>
      <c r="V58" s="177"/>
      <c r="W58" s="177"/>
      <c r="X58" s="177"/>
      <c r="Y58" s="177"/>
      <c r="Z58" s="177"/>
      <c r="AA58" s="177"/>
      <c r="AB58" s="177"/>
      <c r="AC58" s="177"/>
      <c r="AD58" s="177"/>
      <c r="AE58" s="177"/>
      <c r="AF58" s="177"/>
      <c r="AG58" s="177"/>
      <c r="AH58" s="177"/>
      <c r="AI58" s="177"/>
      <c r="AJ58" s="177"/>
      <c r="AK58" s="177"/>
      <c r="AL58" s="177"/>
      <c r="AM58" s="177"/>
      <c r="AN58" s="177"/>
    </row>
    <row r="59" spans="1:40" x14ac:dyDescent="0.3">
      <c r="A59" s="177"/>
      <c r="B59" s="177"/>
      <c r="C59" s="177"/>
      <c r="D59" s="177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  <c r="R59" s="177"/>
      <c r="S59" s="177"/>
      <c r="T59" s="177"/>
      <c r="U59" s="177"/>
      <c r="V59" s="177"/>
      <c r="W59" s="177"/>
      <c r="X59" s="177"/>
      <c r="Y59" s="177"/>
      <c r="Z59" s="177"/>
      <c r="AA59" s="177"/>
      <c r="AB59" s="177"/>
      <c r="AC59" s="177"/>
      <c r="AD59" s="177"/>
      <c r="AE59" s="177"/>
      <c r="AF59" s="177"/>
      <c r="AG59" s="177"/>
      <c r="AH59" s="177"/>
      <c r="AI59" s="177"/>
      <c r="AJ59" s="177"/>
      <c r="AK59" s="177"/>
      <c r="AL59" s="177"/>
      <c r="AM59" s="177"/>
      <c r="AN59" s="177"/>
    </row>
    <row r="60" spans="1:40" x14ac:dyDescent="0.3">
      <c r="A60" s="177"/>
      <c r="B60" s="177"/>
      <c r="C60" s="177"/>
      <c r="D60" s="177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  <c r="R60" s="177"/>
      <c r="S60" s="177"/>
      <c r="T60" s="177"/>
      <c r="U60" s="177"/>
      <c r="V60" s="177"/>
      <c r="W60" s="177"/>
      <c r="X60" s="177"/>
      <c r="Y60" s="177"/>
      <c r="Z60" s="177"/>
      <c r="AA60" s="177"/>
      <c r="AB60" s="177"/>
      <c r="AC60" s="177"/>
      <c r="AD60" s="177"/>
      <c r="AE60" s="177"/>
      <c r="AF60" s="177"/>
      <c r="AG60" s="177"/>
      <c r="AH60" s="177"/>
      <c r="AI60" s="177"/>
      <c r="AJ60" s="177"/>
      <c r="AK60" s="177"/>
      <c r="AL60" s="177"/>
      <c r="AM60" s="177"/>
      <c r="AN60" s="177"/>
    </row>
    <row r="61" spans="1:40" x14ac:dyDescent="0.3">
      <c r="A61" s="177"/>
      <c r="B61" s="177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7"/>
      <c r="V61" s="177"/>
      <c r="W61" s="177"/>
      <c r="X61" s="177"/>
      <c r="Y61" s="177"/>
      <c r="Z61" s="177"/>
      <c r="AA61" s="177"/>
      <c r="AB61" s="177"/>
      <c r="AC61" s="177"/>
      <c r="AD61" s="177"/>
      <c r="AE61" s="177"/>
      <c r="AF61" s="177"/>
      <c r="AG61" s="177"/>
      <c r="AH61" s="177"/>
      <c r="AI61" s="177"/>
      <c r="AJ61" s="177"/>
      <c r="AK61" s="177"/>
      <c r="AL61" s="177"/>
      <c r="AM61" s="177"/>
      <c r="AN61" s="177"/>
    </row>
    <row r="62" spans="1:40" x14ac:dyDescent="0.3">
      <c r="A62" s="177"/>
      <c r="B62" s="177"/>
      <c r="C62" s="177"/>
      <c r="D62" s="177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  <c r="R62" s="177"/>
      <c r="S62" s="177"/>
      <c r="T62" s="177"/>
      <c r="U62" s="177"/>
      <c r="V62" s="177"/>
      <c r="W62" s="177"/>
      <c r="X62" s="177"/>
      <c r="Y62" s="177"/>
      <c r="Z62" s="177"/>
      <c r="AA62" s="177"/>
      <c r="AB62" s="177"/>
      <c r="AC62" s="177"/>
      <c r="AD62" s="177"/>
      <c r="AE62" s="177"/>
      <c r="AF62" s="177"/>
      <c r="AG62" s="177"/>
      <c r="AH62" s="177"/>
      <c r="AI62" s="177"/>
      <c r="AJ62" s="177"/>
      <c r="AK62" s="177"/>
      <c r="AL62" s="177"/>
      <c r="AM62" s="177"/>
      <c r="AN62" s="177"/>
    </row>
    <row r="63" spans="1:40" x14ac:dyDescent="0.3">
      <c r="A63" s="177"/>
      <c r="B63" s="177"/>
      <c r="C63" s="177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  <c r="R63" s="177"/>
      <c r="S63" s="177"/>
      <c r="T63" s="177"/>
      <c r="U63" s="177"/>
      <c r="V63" s="177"/>
      <c r="W63" s="177"/>
      <c r="X63" s="177"/>
      <c r="Y63" s="177"/>
      <c r="Z63" s="177"/>
      <c r="AA63" s="177"/>
      <c r="AB63" s="177"/>
      <c r="AC63" s="177"/>
      <c r="AD63" s="177"/>
      <c r="AE63" s="177"/>
      <c r="AF63" s="177"/>
      <c r="AG63" s="177"/>
      <c r="AH63" s="177"/>
      <c r="AI63" s="177"/>
      <c r="AJ63" s="177"/>
      <c r="AK63" s="177"/>
      <c r="AL63" s="177"/>
      <c r="AM63" s="177"/>
      <c r="AN63" s="177"/>
    </row>
    <row r="64" spans="1:40" x14ac:dyDescent="0.3">
      <c r="A64" s="177"/>
      <c r="B64" s="177"/>
      <c r="C64" s="177"/>
      <c r="D64" s="177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  <c r="R64" s="177"/>
      <c r="S64" s="177"/>
      <c r="T64" s="177"/>
      <c r="U64" s="177"/>
      <c r="V64" s="177"/>
      <c r="W64" s="177"/>
      <c r="X64" s="177"/>
      <c r="Y64" s="177"/>
      <c r="Z64" s="177"/>
      <c r="AA64" s="177"/>
      <c r="AB64" s="177"/>
      <c r="AC64" s="177"/>
      <c r="AD64" s="177"/>
      <c r="AE64" s="177"/>
      <c r="AF64" s="177"/>
      <c r="AG64" s="177"/>
      <c r="AH64" s="177"/>
      <c r="AI64" s="177"/>
      <c r="AJ64" s="177"/>
      <c r="AK64" s="177"/>
      <c r="AL64" s="177"/>
      <c r="AM64" s="177"/>
      <c r="AN64" s="177"/>
    </row>
    <row r="65" spans="1:40" x14ac:dyDescent="0.3">
      <c r="A65" s="177"/>
      <c r="B65" s="177"/>
      <c r="C65" s="177"/>
      <c r="D65" s="177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  <c r="R65" s="177"/>
      <c r="S65" s="177"/>
      <c r="T65" s="177"/>
      <c r="U65" s="177"/>
      <c r="V65" s="177"/>
      <c r="W65" s="177"/>
      <c r="X65" s="177"/>
      <c r="Y65" s="177"/>
      <c r="Z65" s="177"/>
      <c r="AA65" s="177"/>
      <c r="AB65" s="177"/>
      <c r="AC65" s="177"/>
      <c r="AD65" s="177"/>
      <c r="AE65" s="177"/>
      <c r="AF65" s="177"/>
      <c r="AG65" s="177"/>
      <c r="AH65" s="177"/>
      <c r="AI65" s="177"/>
      <c r="AJ65" s="177"/>
      <c r="AK65" s="177"/>
      <c r="AL65" s="177"/>
      <c r="AM65" s="177"/>
      <c r="AN65" s="177"/>
    </row>
    <row r="66" spans="1:40" x14ac:dyDescent="0.3">
      <c r="A66" s="177"/>
      <c r="B66" s="177"/>
      <c r="C66" s="177"/>
      <c r="D66" s="177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  <c r="P66" s="177"/>
      <c r="Q66" s="177"/>
      <c r="R66" s="177"/>
      <c r="S66" s="177"/>
      <c r="T66" s="177"/>
      <c r="U66" s="177"/>
      <c r="V66" s="177"/>
      <c r="W66" s="177"/>
      <c r="X66" s="177"/>
      <c r="Y66" s="177"/>
      <c r="Z66" s="177"/>
      <c r="AA66" s="177"/>
      <c r="AB66" s="177"/>
      <c r="AC66" s="177"/>
      <c r="AD66" s="177"/>
      <c r="AE66" s="177"/>
      <c r="AF66" s="177"/>
      <c r="AG66" s="177"/>
      <c r="AH66" s="177"/>
      <c r="AI66" s="177"/>
      <c r="AJ66" s="177"/>
      <c r="AK66" s="177"/>
      <c r="AL66" s="177"/>
      <c r="AM66" s="177"/>
      <c r="AN66" s="177"/>
    </row>
    <row r="67" spans="1:40" x14ac:dyDescent="0.3">
      <c r="A67" s="177"/>
      <c r="B67" s="177"/>
      <c r="C67" s="177"/>
      <c r="D67" s="177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  <c r="R67" s="177"/>
      <c r="S67" s="177"/>
      <c r="T67" s="177"/>
      <c r="U67" s="177"/>
      <c r="V67" s="177"/>
      <c r="W67" s="177"/>
      <c r="X67" s="177"/>
      <c r="Y67" s="177"/>
      <c r="Z67" s="177"/>
      <c r="AA67" s="177"/>
      <c r="AB67" s="177"/>
      <c r="AC67" s="177"/>
      <c r="AD67" s="177"/>
      <c r="AE67" s="177"/>
      <c r="AF67" s="177"/>
      <c r="AG67" s="177"/>
      <c r="AH67" s="177"/>
      <c r="AI67" s="177"/>
      <c r="AJ67" s="177"/>
      <c r="AK67" s="177"/>
      <c r="AL67" s="177"/>
      <c r="AM67" s="177"/>
      <c r="AN67" s="177"/>
    </row>
    <row r="68" spans="1:40" x14ac:dyDescent="0.3">
      <c r="A68" s="177"/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  <c r="R68" s="177"/>
      <c r="S68" s="177"/>
      <c r="T68" s="177"/>
      <c r="U68" s="177"/>
      <c r="V68" s="177"/>
      <c r="W68" s="177"/>
      <c r="X68" s="177"/>
      <c r="Y68" s="177"/>
      <c r="Z68" s="177"/>
      <c r="AA68" s="177"/>
      <c r="AB68" s="177"/>
      <c r="AC68" s="177"/>
      <c r="AD68" s="177"/>
      <c r="AE68" s="177"/>
      <c r="AF68" s="177"/>
      <c r="AG68" s="177"/>
      <c r="AH68" s="177"/>
      <c r="AI68" s="177"/>
      <c r="AJ68" s="177"/>
      <c r="AK68" s="177"/>
      <c r="AL68" s="177"/>
      <c r="AM68" s="177"/>
      <c r="AN68" s="177"/>
    </row>
    <row r="69" spans="1:40" x14ac:dyDescent="0.3">
      <c r="A69" s="177"/>
      <c r="B69" s="177"/>
      <c r="C69" s="177"/>
      <c r="D69" s="177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77"/>
      <c r="AF69" s="177"/>
      <c r="AG69" s="177"/>
      <c r="AH69" s="177"/>
      <c r="AI69" s="177"/>
      <c r="AJ69" s="177"/>
      <c r="AK69" s="177"/>
      <c r="AL69" s="177"/>
      <c r="AM69" s="177"/>
      <c r="AN69" s="177"/>
    </row>
    <row r="70" spans="1:40" x14ac:dyDescent="0.3">
      <c r="A70" s="177"/>
      <c r="B70" s="177"/>
      <c r="C70" s="177"/>
      <c r="D70" s="177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  <c r="R70" s="177"/>
      <c r="S70" s="177"/>
      <c r="T70" s="177"/>
      <c r="U70" s="177"/>
      <c r="V70" s="177"/>
      <c r="W70" s="177"/>
      <c r="X70" s="177"/>
      <c r="Y70" s="177"/>
      <c r="Z70" s="177"/>
      <c r="AA70" s="177"/>
      <c r="AB70" s="177"/>
      <c r="AC70" s="177"/>
      <c r="AD70" s="177"/>
      <c r="AE70" s="177"/>
      <c r="AF70" s="177"/>
      <c r="AG70" s="177"/>
      <c r="AH70" s="177"/>
      <c r="AI70" s="177"/>
      <c r="AJ70" s="177"/>
      <c r="AK70" s="177"/>
      <c r="AL70" s="177"/>
      <c r="AM70" s="177"/>
      <c r="AN70" s="177"/>
    </row>
    <row r="71" spans="1:40" x14ac:dyDescent="0.3">
      <c r="A71" s="177"/>
      <c r="B71" s="177"/>
      <c r="C71" s="177"/>
      <c r="D71" s="177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  <c r="R71" s="177"/>
      <c r="S71" s="177"/>
      <c r="T71" s="177"/>
      <c r="U71" s="177"/>
      <c r="V71" s="177"/>
      <c r="W71" s="177"/>
      <c r="X71" s="177"/>
      <c r="Y71" s="177"/>
      <c r="Z71" s="177"/>
      <c r="AA71" s="177"/>
      <c r="AB71" s="177"/>
      <c r="AC71" s="177"/>
      <c r="AD71" s="177"/>
      <c r="AE71" s="177"/>
      <c r="AF71" s="177"/>
      <c r="AG71" s="177"/>
      <c r="AH71" s="177"/>
      <c r="AI71" s="177"/>
      <c r="AJ71" s="177"/>
      <c r="AK71" s="177"/>
      <c r="AL71" s="177"/>
      <c r="AM71" s="177"/>
      <c r="AN71" s="177"/>
    </row>
    <row r="72" spans="1:40" x14ac:dyDescent="0.3">
      <c r="A72" s="177"/>
      <c r="B72" s="177"/>
      <c r="C72" s="177"/>
      <c r="D72" s="177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77"/>
      <c r="AF72" s="177"/>
      <c r="AG72" s="177"/>
      <c r="AH72" s="177"/>
      <c r="AI72" s="177"/>
      <c r="AJ72" s="177"/>
      <c r="AK72" s="177"/>
      <c r="AL72" s="177"/>
      <c r="AM72" s="177"/>
      <c r="AN72" s="177"/>
    </row>
    <row r="73" spans="1:40" x14ac:dyDescent="0.3">
      <c r="A73" s="177"/>
      <c r="B73" s="177"/>
      <c r="C73" s="177"/>
      <c r="D73" s="177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  <c r="R73" s="177"/>
      <c r="S73" s="177"/>
      <c r="T73" s="177"/>
      <c r="U73" s="177"/>
      <c r="V73" s="177"/>
      <c r="W73" s="177"/>
      <c r="X73" s="177"/>
      <c r="Y73" s="177"/>
      <c r="Z73" s="177"/>
      <c r="AA73" s="177"/>
      <c r="AB73" s="177"/>
      <c r="AC73" s="177"/>
      <c r="AD73" s="177"/>
      <c r="AE73" s="177"/>
      <c r="AF73" s="177"/>
      <c r="AG73" s="177"/>
      <c r="AH73" s="177"/>
      <c r="AI73" s="177"/>
      <c r="AJ73" s="177"/>
      <c r="AK73" s="177"/>
      <c r="AL73" s="177"/>
      <c r="AM73" s="177"/>
      <c r="AN73" s="177"/>
    </row>
    <row r="74" spans="1:40" x14ac:dyDescent="0.3">
      <c r="A74" s="177"/>
      <c r="B74" s="177"/>
      <c r="C74" s="177"/>
      <c r="D74" s="177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  <c r="R74" s="177"/>
      <c r="S74" s="177"/>
      <c r="T74" s="177"/>
      <c r="U74" s="177"/>
      <c r="V74" s="177"/>
      <c r="W74" s="177"/>
      <c r="X74" s="177"/>
      <c r="Y74" s="177"/>
      <c r="Z74" s="177"/>
      <c r="AA74" s="177"/>
      <c r="AB74" s="177"/>
      <c r="AC74" s="177"/>
      <c r="AD74" s="177"/>
      <c r="AE74" s="177"/>
      <c r="AF74" s="177"/>
      <c r="AG74" s="177"/>
      <c r="AH74" s="177"/>
      <c r="AI74" s="177"/>
      <c r="AJ74" s="177"/>
      <c r="AK74" s="177"/>
      <c r="AL74" s="177"/>
      <c r="AM74" s="177"/>
      <c r="AN74" s="177"/>
    </row>
    <row r="75" spans="1:40" x14ac:dyDescent="0.3">
      <c r="A75" s="177"/>
      <c r="B75" s="177"/>
      <c r="C75" s="177"/>
      <c r="D75" s="177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  <c r="R75" s="177"/>
      <c r="S75" s="177"/>
      <c r="T75" s="177"/>
      <c r="U75" s="177"/>
      <c r="V75" s="177"/>
      <c r="W75" s="177"/>
      <c r="X75" s="177"/>
      <c r="Y75" s="177"/>
      <c r="Z75" s="177"/>
      <c r="AA75" s="177"/>
      <c r="AB75" s="177"/>
      <c r="AC75" s="177"/>
      <c r="AD75" s="177"/>
      <c r="AE75" s="177"/>
      <c r="AF75" s="177"/>
      <c r="AG75" s="177"/>
      <c r="AH75" s="177"/>
      <c r="AI75" s="177"/>
      <c r="AJ75" s="177"/>
      <c r="AK75" s="177"/>
      <c r="AL75" s="177"/>
      <c r="AM75" s="177"/>
      <c r="AN75" s="177"/>
    </row>
    <row r="76" spans="1:40" x14ac:dyDescent="0.3">
      <c r="A76" s="177"/>
      <c r="B76" s="177"/>
      <c r="C76" s="177"/>
      <c r="D76" s="177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  <c r="R76" s="177"/>
      <c r="S76" s="177"/>
      <c r="T76" s="177"/>
      <c r="U76" s="177"/>
      <c r="V76" s="177"/>
      <c r="W76" s="177"/>
      <c r="X76" s="177"/>
      <c r="Y76" s="177"/>
      <c r="Z76" s="177"/>
      <c r="AA76" s="177"/>
      <c r="AB76" s="177"/>
      <c r="AC76" s="177"/>
      <c r="AD76" s="177"/>
      <c r="AE76" s="177"/>
      <c r="AF76" s="177"/>
      <c r="AG76" s="177"/>
      <c r="AH76" s="177"/>
      <c r="AI76" s="177"/>
      <c r="AJ76" s="177"/>
      <c r="AK76" s="177"/>
      <c r="AL76" s="177"/>
      <c r="AM76" s="177"/>
      <c r="AN76" s="177"/>
    </row>
    <row r="77" spans="1:40" x14ac:dyDescent="0.3">
      <c r="A77" s="177"/>
      <c r="B77" s="177"/>
      <c r="C77" s="177"/>
      <c r="D77" s="177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  <c r="R77" s="177"/>
      <c r="S77" s="177"/>
      <c r="T77" s="177"/>
      <c r="U77" s="177"/>
      <c r="V77" s="177"/>
      <c r="W77" s="177"/>
      <c r="X77" s="177"/>
      <c r="Y77" s="177"/>
      <c r="Z77" s="177"/>
      <c r="AA77" s="177"/>
      <c r="AB77" s="177"/>
      <c r="AC77" s="177"/>
      <c r="AD77" s="177"/>
      <c r="AE77" s="177"/>
      <c r="AF77" s="177"/>
      <c r="AG77" s="177"/>
      <c r="AH77" s="177"/>
      <c r="AI77" s="177"/>
      <c r="AJ77" s="177"/>
      <c r="AK77" s="177"/>
      <c r="AL77" s="177"/>
      <c r="AM77" s="177"/>
      <c r="AN77" s="177"/>
    </row>
    <row r="78" spans="1:40" x14ac:dyDescent="0.3">
      <c r="A78" s="177"/>
      <c r="B78" s="177"/>
      <c r="C78" s="177"/>
      <c r="D78" s="177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  <c r="R78" s="177"/>
      <c r="S78" s="177"/>
      <c r="T78" s="177"/>
      <c r="U78" s="177"/>
      <c r="V78" s="177"/>
      <c r="W78" s="177"/>
      <c r="X78" s="177"/>
      <c r="Y78" s="177"/>
      <c r="Z78" s="177"/>
      <c r="AA78" s="177"/>
      <c r="AB78" s="177"/>
      <c r="AC78" s="177"/>
      <c r="AD78" s="177"/>
      <c r="AE78" s="177"/>
      <c r="AF78" s="177"/>
      <c r="AG78" s="177"/>
      <c r="AH78" s="177"/>
      <c r="AI78" s="177"/>
      <c r="AJ78" s="177"/>
      <c r="AK78" s="177"/>
      <c r="AL78" s="177"/>
      <c r="AM78" s="177"/>
      <c r="AN78" s="177"/>
    </row>
    <row r="79" spans="1:40" x14ac:dyDescent="0.3">
      <c r="A79" s="177"/>
      <c r="B79" s="177"/>
      <c r="C79" s="177"/>
      <c r="D79" s="177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  <c r="R79" s="177"/>
      <c r="S79" s="177"/>
      <c r="T79" s="177"/>
      <c r="U79" s="177"/>
      <c r="V79" s="177"/>
      <c r="W79" s="177"/>
      <c r="X79" s="177"/>
      <c r="Y79" s="177"/>
      <c r="Z79" s="177"/>
      <c r="AA79" s="177"/>
      <c r="AB79" s="177"/>
      <c r="AC79" s="177"/>
      <c r="AD79" s="177"/>
      <c r="AE79" s="177"/>
      <c r="AF79" s="177"/>
      <c r="AG79" s="177"/>
      <c r="AH79" s="177"/>
      <c r="AI79" s="177"/>
      <c r="AJ79" s="177"/>
      <c r="AK79" s="177"/>
      <c r="AL79" s="177"/>
      <c r="AM79" s="177"/>
      <c r="AN79" s="177"/>
    </row>
    <row r="80" spans="1:40" x14ac:dyDescent="0.3">
      <c r="A80" s="177"/>
      <c r="B80" s="177"/>
      <c r="C80" s="177"/>
      <c r="D80" s="177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  <c r="R80" s="177"/>
      <c r="S80" s="177"/>
      <c r="T80" s="177"/>
      <c r="U80" s="177"/>
      <c r="V80" s="177"/>
      <c r="W80" s="177"/>
      <c r="X80" s="177"/>
      <c r="Y80" s="177"/>
      <c r="Z80" s="177"/>
      <c r="AA80" s="177"/>
      <c r="AB80" s="177"/>
      <c r="AC80" s="177"/>
      <c r="AD80" s="177"/>
      <c r="AE80" s="177"/>
      <c r="AF80" s="177"/>
      <c r="AG80" s="177"/>
      <c r="AH80" s="177"/>
      <c r="AI80" s="177"/>
      <c r="AJ80" s="177"/>
      <c r="AK80" s="177"/>
      <c r="AL80" s="177"/>
      <c r="AM80" s="177"/>
      <c r="AN80" s="177"/>
    </row>
    <row r="81" spans="1:40" x14ac:dyDescent="0.3">
      <c r="A81" s="177"/>
      <c r="B81" s="177"/>
      <c r="C81" s="177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77"/>
      <c r="AI81" s="177"/>
      <c r="AJ81" s="177"/>
      <c r="AK81" s="177"/>
      <c r="AL81" s="177"/>
      <c r="AM81" s="177"/>
      <c r="AN81" s="177"/>
    </row>
    <row r="82" spans="1:40" x14ac:dyDescent="0.3">
      <c r="A82" s="177"/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  <c r="R82" s="177"/>
      <c r="S82" s="177"/>
      <c r="T82" s="177"/>
      <c r="U82" s="177"/>
      <c r="V82" s="177"/>
      <c r="W82" s="177"/>
      <c r="X82" s="177"/>
      <c r="Y82" s="177"/>
      <c r="Z82" s="177"/>
      <c r="AA82" s="177"/>
      <c r="AB82" s="177"/>
      <c r="AC82" s="177"/>
      <c r="AD82" s="177"/>
      <c r="AE82" s="177"/>
      <c r="AF82" s="177"/>
      <c r="AG82" s="177"/>
      <c r="AH82" s="177"/>
      <c r="AI82" s="177"/>
      <c r="AJ82" s="177"/>
      <c r="AK82" s="177"/>
      <c r="AL82" s="177"/>
      <c r="AM82" s="177"/>
      <c r="AN82" s="177"/>
    </row>
    <row r="83" spans="1:40" x14ac:dyDescent="0.3">
      <c r="A83" s="177"/>
      <c r="B83" s="177"/>
      <c r="C83" s="177"/>
      <c r="D83" s="177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  <c r="R83" s="177"/>
      <c r="S83" s="177"/>
      <c r="T83" s="177"/>
      <c r="U83" s="177"/>
      <c r="V83" s="177"/>
      <c r="W83" s="177"/>
      <c r="X83" s="177"/>
      <c r="Y83" s="177"/>
      <c r="Z83" s="177"/>
      <c r="AA83" s="177"/>
      <c r="AB83" s="177"/>
      <c r="AC83" s="177"/>
      <c r="AD83" s="177"/>
      <c r="AE83" s="177"/>
      <c r="AF83" s="177"/>
      <c r="AG83" s="177"/>
      <c r="AH83" s="177"/>
      <c r="AI83" s="177"/>
      <c r="AJ83" s="177"/>
      <c r="AK83" s="177"/>
      <c r="AL83" s="177"/>
      <c r="AM83" s="177"/>
      <c r="AN83" s="177"/>
    </row>
    <row r="84" spans="1:40" x14ac:dyDescent="0.3">
      <c r="A84" s="177"/>
      <c r="B84" s="177"/>
      <c r="C84" s="177"/>
      <c r="D84" s="177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  <c r="R84" s="177"/>
      <c r="S84" s="177"/>
      <c r="T84" s="177"/>
      <c r="U84" s="177"/>
      <c r="V84" s="177"/>
      <c r="W84" s="177"/>
      <c r="X84" s="177"/>
      <c r="Y84" s="177"/>
      <c r="Z84" s="177"/>
      <c r="AA84" s="177"/>
      <c r="AB84" s="177"/>
      <c r="AC84" s="177"/>
      <c r="AD84" s="177"/>
      <c r="AE84" s="177"/>
      <c r="AF84" s="177"/>
      <c r="AG84" s="177"/>
      <c r="AH84" s="177"/>
      <c r="AI84" s="177"/>
      <c r="AJ84" s="177"/>
      <c r="AK84" s="177"/>
      <c r="AL84" s="177"/>
      <c r="AM84" s="177"/>
      <c r="AN84" s="177"/>
    </row>
    <row r="85" spans="1:40" x14ac:dyDescent="0.3">
      <c r="A85" s="177"/>
      <c r="B85" s="177"/>
      <c r="C85" s="177"/>
      <c r="D85" s="177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  <c r="R85" s="177"/>
      <c r="S85" s="177"/>
      <c r="T85" s="177"/>
      <c r="U85" s="177"/>
      <c r="V85" s="177"/>
      <c r="W85" s="177"/>
      <c r="X85" s="177"/>
      <c r="Y85" s="177"/>
      <c r="Z85" s="177"/>
      <c r="AA85" s="177"/>
      <c r="AB85" s="177"/>
      <c r="AC85" s="177"/>
      <c r="AD85" s="177"/>
      <c r="AE85" s="177"/>
      <c r="AF85" s="177"/>
      <c r="AG85" s="177"/>
      <c r="AH85" s="177"/>
      <c r="AI85" s="177"/>
      <c r="AJ85" s="177"/>
      <c r="AK85" s="177"/>
      <c r="AL85" s="177"/>
      <c r="AM85" s="177"/>
      <c r="AN85" s="177"/>
    </row>
    <row r="86" spans="1:40" x14ac:dyDescent="0.3">
      <c r="A86" s="177"/>
      <c r="B86" s="177"/>
      <c r="C86" s="177"/>
      <c r="D86" s="177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  <c r="R86" s="177"/>
      <c r="S86" s="177"/>
      <c r="T86" s="177"/>
      <c r="U86" s="177"/>
      <c r="V86" s="177"/>
      <c r="W86" s="177"/>
      <c r="X86" s="177"/>
      <c r="Y86" s="177"/>
      <c r="Z86" s="177"/>
      <c r="AA86" s="177"/>
      <c r="AB86" s="177"/>
      <c r="AC86" s="177"/>
      <c r="AD86" s="177"/>
      <c r="AE86" s="177"/>
      <c r="AF86" s="177"/>
      <c r="AG86" s="177"/>
      <c r="AH86" s="177"/>
      <c r="AI86" s="177"/>
      <c r="AJ86" s="177"/>
      <c r="AK86" s="177"/>
      <c r="AL86" s="177"/>
      <c r="AM86" s="177"/>
      <c r="AN86" s="177"/>
    </row>
    <row r="87" spans="1:40" x14ac:dyDescent="0.3">
      <c r="A87" s="177"/>
      <c r="B87" s="177"/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7"/>
      <c r="AA87" s="177"/>
      <c r="AB87" s="177"/>
      <c r="AC87" s="177"/>
      <c r="AD87" s="177"/>
      <c r="AE87" s="177"/>
      <c r="AF87" s="177"/>
      <c r="AG87" s="177"/>
      <c r="AH87" s="177"/>
      <c r="AI87" s="177"/>
      <c r="AJ87" s="177"/>
      <c r="AK87" s="177"/>
      <c r="AL87" s="177"/>
      <c r="AM87" s="177"/>
      <c r="AN87" s="177"/>
    </row>
    <row r="88" spans="1:40" x14ac:dyDescent="0.3">
      <c r="A88" s="177"/>
      <c r="B88" s="177"/>
      <c r="C88" s="177"/>
      <c r="D88" s="177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  <c r="R88" s="177"/>
      <c r="S88" s="177"/>
      <c r="T88" s="177"/>
      <c r="U88" s="177"/>
      <c r="V88" s="177"/>
      <c r="W88" s="177"/>
      <c r="X88" s="177"/>
      <c r="Y88" s="177"/>
      <c r="Z88" s="177"/>
      <c r="AA88" s="177"/>
      <c r="AB88" s="177"/>
      <c r="AC88" s="177"/>
      <c r="AD88" s="177"/>
      <c r="AE88" s="177"/>
      <c r="AF88" s="177"/>
      <c r="AG88" s="177"/>
      <c r="AH88" s="177"/>
      <c r="AI88" s="177"/>
      <c r="AJ88" s="177"/>
      <c r="AK88" s="177"/>
      <c r="AL88" s="177"/>
      <c r="AM88" s="177"/>
      <c r="AN88" s="177"/>
    </row>
    <row r="89" spans="1:40" x14ac:dyDescent="0.3">
      <c r="A89" s="177"/>
      <c r="B89" s="177"/>
      <c r="C89" s="177"/>
      <c r="D89" s="177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  <c r="R89" s="177"/>
      <c r="S89" s="177"/>
      <c r="T89" s="177"/>
      <c r="U89" s="177"/>
      <c r="V89" s="177"/>
      <c r="W89" s="177"/>
      <c r="X89" s="177"/>
      <c r="Y89" s="177"/>
      <c r="Z89" s="177"/>
      <c r="AA89" s="177"/>
      <c r="AB89" s="177"/>
      <c r="AC89" s="177"/>
      <c r="AD89" s="177"/>
      <c r="AE89" s="177"/>
      <c r="AF89" s="177"/>
      <c r="AG89" s="177"/>
      <c r="AH89" s="177"/>
      <c r="AI89" s="177"/>
      <c r="AJ89" s="177"/>
      <c r="AK89" s="177"/>
      <c r="AL89" s="177"/>
      <c r="AM89" s="177"/>
      <c r="AN89" s="177"/>
    </row>
    <row r="90" spans="1:40" x14ac:dyDescent="0.3">
      <c r="A90" s="177"/>
      <c r="B90" s="177"/>
      <c r="C90" s="177"/>
      <c r="D90" s="177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  <c r="R90" s="177"/>
      <c r="S90" s="177"/>
      <c r="T90" s="177"/>
      <c r="U90" s="177"/>
      <c r="V90" s="177"/>
      <c r="W90" s="177"/>
      <c r="X90" s="177"/>
      <c r="Y90" s="177"/>
      <c r="Z90" s="177"/>
      <c r="AA90" s="177"/>
      <c r="AB90" s="177"/>
      <c r="AC90" s="177"/>
      <c r="AD90" s="177"/>
      <c r="AE90" s="177"/>
      <c r="AF90" s="177"/>
      <c r="AG90" s="177"/>
      <c r="AH90" s="177"/>
      <c r="AI90" s="177"/>
      <c r="AJ90" s="177"/>
      <c r="AK90" s="177"/>
      <c r="AL90" s="177"/>
      <c r="AM90" s="177"/>
      <c r="AN90" s="177"/>
    </row>
    <row r="91" spans="1:40" x14ac:dyDescent="0.3">
      <c r="A91" s="177"/>
      <c r="B91" s="177"/>
      <c r="C91" s="177"/>
      <c r="D91" s="177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  <c r="R91" s="177"/>
      <c r="S91" s="177"/>
      <c r="T91" s="177"/>
      <c r="U91" s="177"/>
      <c r="V91" s="177"/>
      <c r="W91" s="177"/>
      <c r="X91" s="177"/>
      <c r="Y91" s="177"/>
      <c r="Z91" s="177"/>
      <c r="AA91" s="177"/>
      <c r="AB91" s="177"/>
      <c r="AC91" s="177"/>
      <c r="AD91" s="177"/>
      <c r="AE91" s="177"/>
      <c r="AF91" s="177"/>
      <c r="AG91" s="177"/>
      <c r="AH91" s="177"/>
      <c r="AI91" s="177"/>
      <c r="AJ91" s="177"/>
      <c r="AK91" s="177"/>
      <c r="AL91" s="177"/>
      <c r="AM91" s="177"/>
      <c r="AN91" s="177"/>
    </row>
    <row r="92" spans="1:40" x14ac:dyDescent="0.3">
      <c r="A92" s="177"/>
      <c r="B92" s="177"/>
      <c r="C92" s="177"/>
      <c r="D92" s="177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  <c r="R92" s="177"/>
      <c r="S92" s="177"/>
      <c r="T92" s="177"/>
      <c r="U92" s="177"/>
      <c r="V92" s="177"/>
      <c r="W92" s="177"/>
      <c r="X92" s="177"/>
      <c r="Y92" s="177"/>
      <c r="Z92" s="177"/>
      <c r="AA92" s="177"/>
      <c r="AB92" s="177"/>
      <c r="AC92" s="177"/>
      <c r="AD92" s="177"/>
      <c r="AE92" s="177"/>
      <c r="AF92" s="177"/>
      <c r="AG92" s="177"/>
      <c r="AH92" s="177"/>
      <c r="AI92" s="177"/>
      <c r="AJ92" s="177"/>
      <c r="AK92" s="177"/>
      <c r="AL92" s="177"/>
      <c r="AM92" s="177"/>
      <c r="AN92" s="177"/>
    </row>
    <row r="93" spans="1:40" x14ac:dyDescent="0.3">
      <c r="A93" s="177"/>
      <c r="B93" s="177"/>
      <c r="C93" s="177"/>
      <c r="D93" s="177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  <c r="R93" s="177"/>
      <c r="S93" s="177"/>
      <c r="T93" s="177"/>
      <c r="U93" s="177"/>
      <c r="V93" s="177"/>
      <c r="W93" s="177"/>
      <c r="X93" s="177"/>
      <c r="Y93" s="177"/>
      <c r="Z93" s="177"/>
      <c r="AA93" s="177"/>
      <c r="AB93" s="177"/>
      <c r="AC93" s="177"/>
      <c r="AD93" s="177"/>
      <c r="AE93" s="177"/>
      <c r="AF93" s="177"/>
      <c r="AG93" s="177"/>
      <c r="AH93" s="177"/>
      <c r="AI93" s="177"/>
      <c r="AJ93" s="177"/>
      <c r="AK93" s="177"/>
      <c r="AL93" s="177"/>
      <c r="AM93" s="177"/>
      <c r="AN93" s="177"/>
    </row>
    <row r="94" spans="1:40" x14ac:dyDescent="0.3">
      <c r="A94" s="177"/>
      <c r="B94" s="177"/>
      <c r="C94" s="177"/>
      <c r="D94" s="177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  <c r="R94" s="177"/>
      <c r="S94" s="177"/>
      <c r="T94" s="177"/>
      <c r="U94" s="177"/>
      <c r="V94" s="177"/>
      <c r="W94" s="177"/>
      <c r="X94" s="177"/>
      <c r="Y94" s="177"/>
      <c r="Z94" s="177"/>
      <c r="AA94" s="177"/>
      <c r="AB94" s="177"/>
      <c r="AC94" s="177"/>
      <c r="AD94" s="177"/>
      <c r="AE94" s="177"/>
      <c r="AF94" s="177"/>
      <c r="AG94" s="177"/>
      <c r="AH94" s="177"/>
      <c r="AI94" s="177"/>
      <c r="AJ94" s="177"/>
      <c r="AK94" s="177"/>
      <c r="AL94" s="177"/>
      <c r="AM94" s="177"/>
      <c r="AN94" s="177"/>
    </row>
    <row r="95" spans="1:40" x14ac:dyDescent="0.3">
      <c r="A95" s="177"/>
      <c r="B95" s="177"/>
      <c r="C95" s="177"/>
      <c r="D95" s="177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  <c r="R95" s="177"/>
      <c r="S95" s="177"/>
      <c r="T95" s="177"/>
      <c r="U95" s="177"/>
      <c r="V95" s="177"/>
      <c r="W95" s="177"/>
      <c r="X95" s="177"/>
      <c r="Y95" s="177"/>
      <c r="Z95" s="177"/>
      <c r="AA95" s="177"/>
      <c r="AB95" s="177"/>
      <c r="AC95" s="177"/>
      <c r="AD95" s="177"/>
      <c r="AE95" s="177"/>
      <c r="AF95" s="177"/>
      <c r="AG95" s="177"/>
      <c r="AH95" s="177"/>
      <c r="AI95" s="177"/>
      <c r="AJ95" s="177"/>
      <c r="AK95" s="177"/>
      <c r="AL95" s="177"/>
      <c r="AM95" s="177"/>
      <c r="AN95" s="177"/>
    </row>
    <row r="96" spans="1:40" x14ac:dyDescent="0.3">
      <c r="A96" s="177"/>
      <c r="B96" s="177"/>
      <c r="C96" s="177"/>
      <c r="D96" s="177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  <c r="R96" s="177"/>
      <c r="S96" s="177"/>
      <c r="T96" s="177"/>
      <c r="U96" s="177"/>
      <c r="V96" s="177"/>
      <c r="W96" s="177"/>
      <c r="X96" s="177"/>
      <c r="Y96" s="177"/>
      <c r="Z96" s="177"/>
      <c r="AA96" s="177"/>
      <c r="AB96" s="177"/>
      <c r="AC96" s="177"/>
      <c r="AD96" s="177"/>
      <c r="AE96" s="177"/>
      <c r="AF96" s="177"/>
      <c r="AG96" s="177"/>
      <c r="AH96" s="177"/>
      <c r="AI96" s="177"/>
      <c r="AJ96" s="177"/>
      <c r="AK96" s="177"/>
      <c r="AL96" s="177"/>
      <c r="AM96" s="177"/>
      <c r="AN96" s="177"/>
    </row>
    <row r="97" spans="1:40" x14ac:dyDescent="0.3">
      <c r="A97" s="177"/>
      <c r="B97" s="177"/>
      <c r="C97" s="177"/>
      <c r="D97" s="177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  <c r="R97" s="177"/>
      <c r="S97" s="177"/>
      <c r="T97" s="177"/>
      <c r="U97" s="177"/>
      <c r="V97" s="177"/>
      <c r="W97" s="177"/>
      <c r="X97" s="177"/>
      <c r="Y97" s="177"/>
      <c r="Z97" s="177"/>
      <c r="AA97" s="177"/>
      <c r="AB97" s="177"/>
      <c r="AC97" s="177"/>
      <c r="AD97" s="177"/>
      <c r="AE97" s="177"/>
      <c r="AF97" s="177"/>
      <c r="AG97" s="177"/>
      <c r="AH97" s="177"/>
      <c r="AI97" s="177"/>
      <c r="AJ97" s="177"/>
      <c r="AK97" s="177"/>
      <c r="AL97" s="177"/>
      <c r="AM97" s="177"/>
      <c r="AN97" s="177"/>
    </row>
    <row r="98" spans="1:40" x14ac:dyDescent="0.3">
      <c r="A98" s="177"/>
      <c r="B98" s="177"/>
      <c r="C98" s="177"/>
      <c r="D98" s="177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  <c r="R98" s="177"/>
      <c r="S98" s="177"/>
      <c r="T98" s="177"/>
      <c r="U98" s="177"/>
      <c r="V98" s="177"/>
      <c r="W98" s="177"/>
      <c r="X98" s="177"/>
      <c r="Y98" s="177"/>
      <c r="Z98" s="177"/>
      <c r="AA98" s="177"/>
      <c r="AB98" s="177"/>
      <c r="AC98" s="177"/>
      <c r="AD98" s="177"/>
      <c r="AE98" s="177"/>
      <c r="AF98" s="177"/>
      <c r="AG98" s="177"/>
      <c r="AH98" s="177"/>
      <c r="AI98" s="177"/>
      <c r="AJ98" s="177"/>
      <c r="AK98" s="177"/>
      <c r="AL98" s="177"/>
      <c r="AM98" s="177"/>
      <c r="AN98" s="177"/>
    </row>
    <row r="99" spans="1:40" x14ac:dyDescent="0.3">
      <c r="A99" s="177"/>
      <c r="B99" s="177"/>
      <c r="C99" s="177"/>
      <c r="D99" s="177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  <c r="R99" s="177"/>
      <c r="S99" s="177"/>
      <c r="T99" s="177"/>
      <c r="U99" s="177"/>
      <c r="V99" s="177"/>
      <c r="W99" s="177"/>
      <c r="X99" s="177"/>
      <c r="Y99" s="177"/>
      <c r="Z99" s="177"/>
      <c r="AA99" s="177"/>
      <c r="AB99" s="177"/>
      <c r="AC99" s="177"/>
      <c r="AD99" s="177"/>
      <c r="AE99" s="177"/>
      <c r="AF99" s="177"/>
      <c r="AG99" s="177"/>
      <c r="AH99" s="177"/>
      <c r="AI99" s="177"/>
      <c r="AJ99" s="177"/>
      <c r="AK99" s="177"/>
      <c r="AL99" s="177"/>
      <c r="AM99" s="177"/>
      <c r="AN99" s="177"/>
    </row>
    <row r="100" spans="1:40" x14ac:dyDescent="0.3">
      <c r="A100" s="177"/>
      <c r="B100" s="177"/>
      <c r="C100" s="177"/>
      <c r="D100" s="177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  <c r="R100" s="177"/>
      <c r="S100" s="177"/>
      <c r="T100" s="177"/>
      <c r="U100" s="177"/>
      <c r="V100" s="177"/>
      <c r="W100" s="177"/>
      <c r="X100" s="177"/>
      <c r="Y100" s="177"/>
      <c r="Z100" s="177"/>
      <c r="AA100" s="177"/>
      <c r="AB100" s="177"/>
      <c r="AC100" s="177"/>
      <c r="AD100" s="177"/>
      <c r="AE100" s="177"/>
      <c r="AF100" s="177"/>
      <c r="AG100" s="177"/>
      <c r="AH100" s="177"/>
      <c r="AI100" s="177"/>
      <c r="AJ100" s="177"/>
      <c r="AK100" s="177"/>
      <c r="AL100" s="177"/>
      <c r="AM100" s="177"/>
      <c r="AN100" s="177"/>
    </row>
    <row r="101" spans="1:40" x14ac:dyDescent="0.3">
      <c r="A101" s="177"/>
      <c r="B101" s="177"/>
      <c r="C101" s="177"/>
      <c r="D101" s="177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  <c r="R101" s="177"/>
      <c r="S101" s="177"/>
      <c r="T101" s="177"/>
      <c r="U101" s="177"/>
      <c r="V101" s="177"/>
      <c r="W101" s="177"/>
      <c r="X101" s="177"/>
      <c r="Y101" s="177"/>
      <c r="Z101" s="177"/>
      <c r="AA101" s="177"/>
      <c r="AB101" s="177"/>
      <c r="AC101" s="177"/>
      <c r="AD101" s="177"/>
      <c r="AE101" s="177"/>
      <c r="AF101" s="177"/>
      <c r="AG101" s="177"/>
      <c r="AH101" s="177"/>
      <c r="AI101" s="177"/>
      <c r="AJ101" s="177"/>
      <c r="AK101" s="177"/>
      <c r="AL101" s="177"/>
      <c r="AM101" s="177"/>
      <c r="AN101" s="177"/>
    </row>
    <row r="102" spans="1:40" x14ac:dyDescent="0.3">
      <c r="A102" s="177"/>
      <c r="B102" s="177"/>
      <c r="C102" s="177"/>
      <c r="D102" s="177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  <c r="R102" s="177"/>
      <c r="S102" s="177"/>
      <c r="T102" s="177"/>
      <c r="U102" s="177"/>
      <c r="V102" s="177"/>
      <c r="W102" s="177"/>
      <c r="X102" s="177"/>
      <c r="Y102" s="177"/>
      <c r="Z102" s="177"/>
      <c r="AA102" s="177"/>
      <c r="AB102" s="177"/>
      <c r="AC102" s="177"/>
      <c r="AD102" s="177"/>
      <c r="AE102" s="177"/>
      <c r="AF102" s="177"/>
      <c r="AG102" s="177"/>
      <c r="AH102" s="177"/>
      <c r="AI102" s="177"/>
      <c r="AJ102" s="177"/>
      <c r="AK102" s="177"/>
      <c r="AL102" s="177"/>
      <c r="AM102" s="177"/>
      <c r="AN102" s="177"/>
    </row>
    <row r="103" spans="1:40" x14ac:dyDescent="0.3">
      <c r="A103" s="177"/>
      <c r="B103" s="177"/>
      <c r="C103" s="177"/>
      <c r="D103" s="177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  <c r="R103" s="177"/>
      <c r="S103" s="177"/>
      <c r="T103" s="177"/>
      <c r="U103" s="177"/>
      <c r="V103" s="177"/>
      <c r="W103" s="177"/>
      <c r="X103" s="177"/>
      <c r="Y103" s="177"/>
      <c r="Z103" s="177"/>
      <c r="AA103" s="177"/>
      <c r="AB103" s="177"/>
      <c r="AC103" s="177"/>
      <c r="AD103" s="177"/>
      <c r="AE103" s="177"/>
      <c r="AF103" s="177"/>
      <c r="AG103" s="177"/>
      <c r="AH103" s="177"/>
      <c r="AI103" s="177"/>
      <c r="AJ103" s="177"/>
      <c r="AK103" s="177"/>
      <c r="AL103" s="177"/>
      <c r="AM103" s="177"/>
      <c r="AN103" s="177"/>
    </row>
    <row r="104" spans="1:40" x14ac:dyDescent="0.3">
      <c r="A104" s="177"/>
      <c r="B104" s="177"/>
      <c r="C104" s="177"/>
      <c r="D104" s="177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  <c r="R104" s="177"/>
      <c r="S104" s="177"/>
      <c r="T104" s="177"/>
      <c r="U104" s="177"/>
      <c r="V104" s="177"/>
      <c r="W104" s="177"/>
      <c r="X104" s="177"/>
      <c r="Y104" s="177"/>
      <c r="Z104" s="177"/>
      <c r="AA104" s="177"/>
      <c r="AB104" s="177"/>
      <c r="AC104" s="177"/>
      <c r="AD104" s="177"/>
      <c r="AE104" s="177"/>
      <c r="AF104" s="177"/>
      <c r="AG104" s="177"/>
      <c r="AH104" s="177"/>
      <c r="AI104" s="177"/>
      <c r="AJ104" s="177"/>
      <c r="AK104" s="177"/>
      <c r="AL104" s="177"/>
      <c r="AM104" s="177"/>
      <c r="AN104" s="177"/>
    </row>
    <row r="105" spans="1:40" x14ac:dyDescent="0.3">
      <c r="A105" s="177"/>
      <c r="B105" s="177"/>
      <c r="C105" s="177"/>
      <c r="D105" s="177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  <c r="R105" s="177"/>
      <c r="S105" s="177"/>
      <c r="T105" s="177"/>
      <c r="U105" s="177"/>
      <c r="V105" s="177"/>
      <c r="W105" s="177"/>
      <c r="X105" s="177"/>
      <c r="Y105" s="177"/>
      <c r="Z105" s="177"/>
      <c r="AA105" s="177"/>
      <c r="AB105" s="177"/>
      <c r="AC105" s="177"/>
      <c r="AD105" s="177"/>
      <c r="AE105" s="177"/>
      <c r="AF105" s="177"/>
      <c r="AG105" s="177"/>
      <c r="AH105" s="177"/>
      <c r="AI105" s="177"/>
      <c r="AJ105" s="177"/>
      <c r="AK105" s="177"/>
      <c r="AL105" s="177"/>
      <c r="AM105" s="177"/>
      <c r="AN105" s="177"/>
    </row>
    <row r="106" spans="1:40" x14ac:dyDescent="0.3">
      <c r="A106" s="177"/>
      <c r="B106" s="177"/>
      <c r="C106" s="177"/>
      <c r="D106" s="177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  <c r="R106" s="177"/>
      <c r="S106" s="177"/>
      <c r="T106" s="177"/>
      <c r="U106" s="177"/>
      <c r="V106" s="177"/>
      <c r="W106" s="177"/>
      <c r="X106" s="177"/>
      <c r="Y106" s="177"/>
      <c r="Z106" s="177"/>
      <c r="AA106" s="177"/>
      <c r="AB106" s="177"/>
      <c r="AC106" s="177"/>
      <c r="AD106" s="177"/>
      <c r="AE106" s="177"/>
      <c r="AF106" s="177"/>
      <c r="AG106" s="177"/>
      <c r="AH106" s="177"/>
      <c r="AI106" s="177"/>
      <c r="AJ106" s="177"/>
      <c r="AK106" s="177"/>
      <c r="AL106" s="177"/>
      <c r="AM106" s="177"/>
      <c r="AN106" s="177"/>
    </row>
    <row r="107" spans="1:40" x14ac:dyDescent="0.3">
      <c r="A107" s="177"/>
      <c r="B107" s="177"/>
      <c r="C107" s="177"/>
      <c r="D107" s="177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  <c r="R107" s="177"/>
      <c r="S107" s="177"/>
      <c r="T107" s="177"/>
      <c r="U107" s="177"/>
      <c r="V107" s="177"/>
      <c r="W107" s="177"/>
      <c r="X107" s="177"/>
      <c r="Y107" s="177"/>
      <c r="Z107" s="177"/>
      <c r="AA107" s="177"/>
      <c r="AB107" s="177"/>
      <c r="AC107" s="177"/>
      <c r="AD107" s="177"/>
      <c r="AE107" s="177"/>
      <c r="AF107" s="177"/>
      <c r="AG107" s="177"/>
      <c r="AH107" s="177"/>
      <c r="AI107" s="177"/>
      <c r="AJ107" s="177"/>
      <c r="AK107" s="177"/>
      <c r="AL107" s="177"/>
      <c r="AM107" s="177"/>
      <c r="AN107" s="177"/>
    </row>
    <row r="108" spans="1:40" x14ac:dyDescent="0.3">
      <c r="A108" s="177"/>
      <c r="B108" s="177"/>
      <c r="C108" s="177"/>
      <c r="D108" s="177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  <c r="R108" s="177"/>
      <c r="S108" s="177"/>
      <c r="T108" s="177"/>
      <c r="U108" s="177"/>
      <c r="V108" s="177"/>
      <c r="W108" s="177"/>
      <c r="X108" s="177"/>
      <c r="Y108" s="177"/>
      <c r="Z108" s="177"/>
      <c r="AA108" s="177"/>
      <c r="AB108" s="177"/>
      <c r="AC108" s="177"/>
      <c r="AD108" s="177"/>
      <c r="AE108" s="177"/>
      <c r="AF108" s="177"/>
      <c r="AG108" s="177"/>
      <c r="AH108" s="177"/>
      <c r="AI108" s="177"/>
      <c r="AJ108" s="177"/>
      <c r="AK108" s="177"/>
      <c r="AL108" s="177"/>
      <c r="AM108" s="177"/>
      <c r="AN108" s="177"/>
    </row>
    <row r="109" spans="1:40" x14ac:dyDescent="0.3">
      <c r="A109" s="177"/>
      <c r="B109" s="177"/>
      <c r="C109" s="177"/>
      <c r="D109" s="177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  <c r="R109" s="177"/>
      <c r="S109" s="177"/>
      <c r="T109" s="177"/>
      <c r="U109" s="177"/>
      <c r="V109" s="177"/>
      <c r="W109" s="177"/>
      <c r="X109" s="177"/>
      <c r="Y109" s="177"/>
      <c r="Z109" s="177"/>
      <c r="AA109" s="177"/>
      <c r="AB109" s="177"/>
      <c r="AC109" s="177"/>
      <c r="AD109" s="177"/>
      <c r="AE109" s="177"/>
      <c r="AF109" s="177"/>
      <c r="AG109" s="177"/>
      <c r="AH109" s="177"/>
      <c r="AI109" s="177"/>
      <c r="AJ109" s="177"/>
      <c r="AK109" s="177"/>
      <c r="AL109" s="177"/>
      <c r="AM109" s="177"/>
      <c r="AN109" s="177"/>
    </row>
    <row r="110" spans="1:40" x14ac:dyDescent="0.3">
      <c r="A110" s="177"/>
      <c r="B110" s="177"/>
      <c r="C110" s="177"/>
      <c r="D110" s="177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  <c r="R110" s="177"/>
      <c r="S110" s="177"/>
      <c r="T110" s="177"/>
      <c r="U110" s="177"/>
      <c r="V110" s="177"/>
      <c r="W110" s="177"/>
      <c r="X110" s="177"/>
      <c r="Y110" s="177"/>
      <c r="Z110" s="177"/>
      <c r="AA110" s="177"/>
      <c r="AB110" s="177"/>
      <c r="AC110" s="177"/>
      <c r="AD110" s="177"/>
      <c r="AE110" s="177"/>
      <c r="AF110" s="177"/>
      <c r="AG110" s="177"/>
      <c r="AH110" s="177"/>
      <c r="AI110" s="177"/>
      <c r="AJ110" s="177"/>
      <c r="AK110" s="177"/>
      <c r="AL110" s="177"/>
      <c r="AM110" s="177"/>
      <c r="AN110" s="177"/>
    </row>
    <row r="111" spans="1:40" x14ac:dyDescent="0.3">
      <c r="A111" s="177"/>
      <c r="B111" s="177"/>
      <c r="C111" s="177"/>
      <c r="D111" s="177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77"/>
      <c r="AE111" s="177"/>
      <c r="AF111" s="177"/>
      <c r="AG111" s="177"/>
      <c r="AH111" s="177"/>
      <c r="AI111" s="177"/>
      <c r="AJ111" s="177"/>
      <c r="AK111" s="177"/>
      <c r="AL111" s="177"/>
      <c r="AM111" s="177"/>
      <c r="AN111" s="177"/>
    </row>
    <row r="112" spans="1:40" x14ac:dyDescent="0.3">
      <c r="A112" s="177"/>
      <c r="B112" s="177"/>
      <c r="C112" s="177"/>
      <c r="D112" s="177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  <c r="R112" s="177"/>
      <c r="S112" s="177"/>
      <c r="T112" s="177"/>
      <c r="U112" s="177"/>
      <c r="V112" s="177"/>
      <c r="W112" s="177"/>
      <c r="X112" s="177"/>
      <c r="Y112" s="177"/>
      <c r="Z112" s="177"/>
      <c r="AA112" s="177"/>
      <c r="AB112" s="177"/>
      <c r="AC112" s="177"/>
      <c r="AD112" s="177"/>
      <c r="AE112" s="177"/>
      <c r="AF112" s="177"/>
      <c r="AG112" s="177"/>
      <c r="AH112" s="177"/>
      <c r="AI112" s="177"/>
      <c r="AJ112" s="177"/>
      <c r="AK112" s="177"/>
      <c r="AL112" s="177"/>
      <c r="AM112" s="177"/>
      <c r="AN112" s="177"/>
    </row>
    <row r="113" spans="1:40" x14ac:dyDescent="0.3">
      <c r="A113" s="177"/>
      <c r="B113" s="177"/>
      <c r="C113" s="177"/>
      <c r="D113" s="177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  <c r="R113" s="177"/>
      <c r="S113" s="177"/>
      <c r="T113" s="177"/>
      <c r="U113" s="177"/>
      <c r="V113" s="177"/>
      <c r="W113" s="177"/>
      <c r="X113" s="177"/>
      <c r="Y113" s="177"/>
      <c r="Z113" s="177"/>
      <c r="AA113" s="177"/>
      <c r="AB113" s="177"/>
      <c r="AC113" s="177"/>
      <c r="AD113" s="177"/>
      <c r="AE113" s="177"/>
      <c r="AF113" s="177"/>
      <c r="AG113" s="177"/>
      <c r="AH113" s="177"/>
      <c r="AI113" s="177"/>
      <c r="AJ113" s="177"/>
      <c r="AK113" s="177"/>
      <c r="AL113" s="177"/>
      <c r="AM113" s="177"/>
      <c r="AN113" s="177"/>
    </row>
    <row r="114" spans="1:40" x14ac:dyDescent="0.3">
      <c r="A114" s="177"/>
      <c r="B114" s="177"/>
      <c r="C114" s="177"/>
      <c r="D114" s="177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  <c r="R114" s="177"/>
      <c r="S114" s="177"/>
      <c r="T114" s="177"/>
      <c r="U114" s="177"/>
      <c r="V114" s="177"/>
      <c r="W114" s="177"/>
      <c r="X114" s="177"/>
      <c r="Y114" s="177"/>
      <c r="Z114" s="177"/>
      <c r="AA114" s="177"/>
      <c r="AB114" s="177"/>
      <c r="AC114" s="177"/>
      <c r="AD114" s="177"/>
      <c r="AE114" s="177"/>
      <c r="AF114" s="177"/>
      <c r="AG114" s="177"/>
      <c r="AH114" s="177"/>
      <c r="AI114" s="177"/>
      <c r="AJ114" s="177"/>
      <c r="AK114" s="177"/>
      <c r="AL114" s="177"/>
      <c r="AM114" s="177"/>
      <c r="AN114" s="177"/>
    </row>
    <row r="115" spans="1:40" x14ac:dyDescent="0.3">
      <c r="A115" s="177"/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  <c r="R115" s="177"/>
      <c r="S115" s="177"/>
      <c r="T115" s="177"/>
      <c r="U115" s="177"/>
      <c r="V115" s="177"/>
      <c r="W115" s="177"/>
      <c r="X115" s="177"/>
      <c r="Y115" s="177"/>
      <c r="Z115" s="177"/>
      <c r="AA115" s="177"/>
      <c r="AB115" s="177"/>
      <c r="AC115" s="177"/>
      <c r="AD115" s="177"/>
      <c r="AE115" s="177"/>
      <c r="AF115" s="177"/>
      <c r="AG115" s="177"/>
      <c r="AH115" s="177"/>
      <c r="AI115" s="177"/>
      <c r="AJ115" s="177"/>
      <c r="AK115" s="177"/>
      <c r="AL115" s="177"/>
      <c r="AM115" s="177"/>
      <c r="AN115" s="177"/>
    </row>
    <row r="116" spans="1:40" x14ac:dyDescent="0.3">
      <c r="A116" s="177"/>
      <c r="B116" s="177"/>
      <c r="C116" s="177"/>
      <c r="D116" s="177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  <c r="R116" s="177"/>
      <c r="S116" s="177"/>
      <c r="T116" s="177"/>
      <c r="U116" s="177"/>
      <c r="V116" s="177"/>
      <c r="W116" s="177"/>
      <c r="X116" s="177"/>
      <c r="Y116" s="177"/>
      <c r="Z116" s="177"/>
      <c r="AA116" s="177"/>
      <c r="AB116" s="177"/>
      <c r="AC116" s="177"/>
      <c r="AD116" s="177"/>
      <c r="AE116" s="177"/>
      <c r="AF116" s="177"/>
      <c r="AG116" s="177"/>
      <c r="AH116" s="177"/>
      <c r="AI116" s="177"/>
      <c r="AJ116" s="177"/>
      <c r="AK116" s="177"/>
      <c r="AL116" s="177"/>
      <c r="AM116" s="177"/>
      <c r="AN116" s="177"/>
    </row>
    <row r="117" spans="1:40" x14ac:dyDescent="0.3">
      <c r="A117" s="177"/>
      <c r="B117" s="177"/>
      <c r="C117" s="177"/>
      <c r="D117" s="177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  <c r="R117" s="177"/>
      <c r="S117" s="177"/>
      <c r="T117" s="177"/>
      <c r="U117" s="177"/>
      <c r="V117" s="177"/>
      <c r="W117" s="177"/>
      <c r="X117" s="177"/>
      <c r="Y117" s="177"/>
      <c r="Z117" s="177"/>
      <c r="AA117" s="177"/>
      <c r="AB117" s="177"/>
      <c r="AC117" s="177"/>
      <c r="AD117" s="177"/>
      <c r="AE117" s="177"/>
      <c r="AF117" s="177"/>
      <c r="AG117" s="177"/>
      <c r="AH117" s="177"/>
      <c r="AI117" s="177"/>
      <c r="AJ117" s="177"/>
      <c r="AK117" s="177"/>
      <c r="AL117" s="177"/>
      <c r="AM117" s="177"/>
      <c r="AN117" s="177"/>
    </row>
    <row r="118" spans="1:40" x14ac:dyDescent="0.3">
      <c r="A118" s="177"/>
      <c r="B118" s="177"/>
      <c r="C118" s="177"/>
      <c r="D118" s="177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  <c r="R118" s="177"/>
      <c r="S118" s="177"/>
      <c r="T118" s="177"/>
      <c r="U118" s="177"/>
      <c r="V118" s="177"/>
      <c r="W118" s="177"/>
      <c r="X118" s="177"/>
      <c r="Y118" s="177"/>
      <c r="Z118" s="177"/>
      <c r="AA118" s="177"/>
      <c r="AB118" s="177"/>
      <c r="AC118" s="177"/>
      <c r="AD118" s="177"/>
      <c r="AE118" s="177"/>
      <c r="AF118" s="177"/>
      <c r="AG118" s="177"/>
      <c r="AH118" s="177"/>
      <c r="AI118" s="177"/>
      <c r="AJ118" s="177"/>
      <c r="AK118" s="177"/>
      <c r="AL118" s="177"/>
      <c r="AM118" s="177"/>
      <c r="AN118" s="177"/>
    </row>
    <row r="119" spans="1:40" x14ac:dyDescent="0.3">
      <c r="A119" s="177"/>
      <c r="B119" s="177"/>
      <c r="C119" s="177"/>
      <c r="D119" s="177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  <c r="R119" s="177"/>
      <c r="S119" s="177"/>
      <c r="T119" s="177"/>
      <c r="U119" s="177"/>
      <c r="V119" s="177"/>
      <c r="W119" s="177"/>
      <c r="X119" s="177"/>
      <c r="Y119" s="177"/>
      <c r="Z119" s="177"/>
      <c r="AA119" s="177"/>
      <c r="AB119" s="177"/>
      <c r="AC119" s="177"/>
      <c r="AD119" s="177"/>
      <c r="AE119" s="177"/>
      <c r="AF119" s="177"/>
      <c r="AG119" s="177"/>
      <c r="AH119" s="177"/>
      <c r="AI119" s="177"/>
      <c r="AJ119" s="177"/>
      <c r="AK119" s="177"/>
      <c r="AL119" s="177"/>
      <c r="AM119" s="177"/>
      <c r="AN119" s="177"/>
    </row>
    <row r="120" spans="1:40" x14ac:dyDescent="0.3">
      <c r="A120" s="177"/>
      <c r="B120" s="177"/>
      <c r="C120" s="177"/>
      <c r="D120" s="177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  <c r="R120" s="177"/>
      <c r="S120" s="177"/>
      <c r="T120" s="177"/>
      <c r="U120" s="177"/>
      <c r="V120" s="177"/>
      <c r="W120" s="177"/>
      <c r="X120" s="177"/>
      <c r="Y120" s="177"/>
      <c r="Z120" s="177"/>
      <c r="AA120" s="177"/>
      <c r="AB120" s="177"/>
      <c r="AC120" s="177"/>
      <c r="AD120" s="177"/>
      <c r="AE120" s="177"/>
      <c r="AF120" s="177"/>
      <c r="AG120" s="177"/>
      <c r="AH120" s="177"/>
      <c r="AI120" s="177"/>
      <c r="AJ120" s="177"/>
      <c r="AK120" s="177"/>
      <c r="AL120" s="177"/>
      <c r="AM120" s="177"/>
      <c r="AN120" s="177"/>
    </row>
    <row r="121" spans="1:40" x14ac:dyDescent="0.3">
      <c r="A121" s="177"/>
      <c r="B121" s="177"/>
      <c r="C121" s="177"/>
      <c r="D121" s="177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  <c r="R121" s="177"/>
      <c r="S121" s="177"/>
      <c r="T121" s="177"/>
      <c r="U121" s="177"/>
      <c r="V121" s="177"/>
      <c r="W121" s="177"/>
      <c r="X121" s="177"/>
      <c r="Y121" s="177"/>
      <c r="Z121" s="177"/>
      <c r="AA121" s="177"/>
      <c r="AB121" s="177"/>
      <c r="AC121" s="177"/>
      <c r="AD121" s="177"/>
      <c r="AE121" s="177"/>
      <c r="AF121" s="177"/>
      <c r="AG121" s="177"/>
      <c r="AH121" s="177"/>
      <c r="AI121" s="177"/>
      <c r="AJ121" s="177"/>
      <c r="AK121" s="177"/>
      <c r="AL121" s="177"/>
      <c r="AM121" s="177"/>
      <c r="AN121" s="177"/>
    </row>
    <row r="122" spans="1:40" x14ac:dyDescent="0.3">
      <c r="A122" s="177"/>
      <c r="B122" s="177"/>
      <c r="C122" s="177"/>
      <c r="D122" s="177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  <c r="R122" s="177"/>
      <c r="S122" s="177"/>
      <c r="T122" s="177"/>
      <c r="U122" s="177"/>
      <c r="V122" s="177"/>
      <c r="W122" s="177"/>
      <c r="X122" s="177"/>
      <c r="Y122" s="177"/>
      <c r="Z122" s="177"/>
      <c r="AA122" s="177"/>
      <c r="AB122" s="177"/>
      <c r="AC122" s="177"/>
      <c r="AD122" s="177"/>
      <c r="AE122" s="177"/>
      <c r="AF122" s="177"/>
      <c r="AG122" s="177"/>
      <c r="AH122" s="177"/>
      <c r="AI122" s="177"/>
      <c r="AJ122" s="177"/>
      <c r="AK122" s="177"/>
      <c r="AL122" s="177"/>
      <c r="AM122" s="177"/>
      <c r="AN122" s="177"/>
    </row>
    <row r="123" spans="1:40" x14ac:dyDescent="0.3">
      <c r="A123" s="177"/>
      <c r="B123" s="177"/>
      <c r="C123" s="177"/>
      <c r="D123" s="177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  <c r="R123" s="177"/>
      <c r="S123" s="177"/>
      <c r="T123" s="177"/>
      <c r="U123" s="177"/>
      <c r="V123" s="177"/>
      <c r="W123" s="177"/>
      <c r="X123" s="177"/>
      <c r="Y123" s="177"/>
      <c r="Z123" s="177"/>
      <c r="AA123" s="177"/>
      <c r="AB123" s="177"/>
      <c r="AC123" s="177"/>
      <c r="AD123" s="177"/>
      <c r="AE123" s="177"/>
      <c r="AF123" s="177"/>
      <c r="AG123" s="177"/>
      <c r="AH123" s="177"/>
      <c r="AI123" s="177"/>
      <c r="AJ123" s="177"/>
      <c r="AK123" s="177"/>
      <c r="AL123" s="177"/>
      <c r="AM123" s="177"/>
      <c r="AN123" s="177"/>
    </row>
    <row r="124" spans="1:40" x14ac:dyDescent="0.3">
      <c r="A124" s="177"/>
      <c r="B124" s="177"/>
      <c r="C124" s="177"/>
      <c r="D124" s="177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  <c r="R124" s="177"/>
      <c r="S124" s="177"/>
      <c r="T124" s="177"/>
      <c r="U124" s="177"/>
      <c r="V124" s="177"/>
      <c r="W124" s="177"/>
      <c r="X124" s="177"/>
      <c r="Y124" s="177"/>
      <c r="Z124" s="177"/>
      <c r="AA124" s="177"/>
      <c r="AB124" s="177"/>
      <c r="AC124" s="177"/>
      <c r="AD124" s="177"/>
      <c r="AE124" s="177"/>
      <c r="AF124" s="177"/>
      <c r="AG124" s="177"/>
      <c r="AH124" s="177"/>
      <c r="AI124" s="177"/>
      <c r="AJ124" s="177"/>
      <c r="AK124" s="177"/>
      <c r="AL124" s="177"/>
      <c r="AM124" s="177"/>
      <c r="AN124" s="177"/>
    </row>
    <row r="125" spans="1:40" x14ac:dyDescent="0.3">
      <c r="A125" s="177"/>
      <c r="B125" s="177"/>
      <c r="C125" s="177"/>
      <c r="D125" s="177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  <c r="R125" s="177"/>
      <c r="S125" s="177"/>
      <c r="T125" s="177"/>
      <c r="U125" s="177"/>
      <c r="V125" s="177"/>
      <c r="W125" s="177"/>
      <c r="X125" s="177"/>
      <c r="Y125" s="177"/>
      <c r="Z125" s="177"/>
      <c r="AA125" s="177"/>
      <c r="AB125" s="177"/>
      <c r="AC125" s="177"/>
      <c r="AD125" s="177"/>
      <c r="AE125" s="177"/>
      <c r="AF125" s="177"/>
      <c r="AG125" s="177"/>
      <c r="AH125" s="177"/>
      <c r="AI125" s="177"/>
      <c r="AJ125" s="177"/>
      <c r="AK125" s="177"/>
      <c r="AL125" s="177"/>
      <c r="AM125" s="177"/>
      <c r="AN125" s="177"/>
    </row>
    <row r="126" spans="1:40" x14ac:dyDescent="0.3">
      <c r="A126" s="177"/>
      <c r="B126" s="177"/>
      <c r="C126" s="177"/>
      <c r="D126" s="177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  <c r="R126" s="177"/>
      <c r="S126" s="177"/>
      <c r="T126" s="177"/>
      <c r="U126" s="177"/>
      <c r="V126" s="177"/>
      <c r="W126" s="177"/>
      <c r="X126" s="177"/>
      <c r="Y126" s="177"/>
      <c r="Z126" s="177"/>
      <c r="AA126" s="177"/>
      <c r="AB126" s="177"/>
      <c r="AC126" s="177"/>
      <c r="AD126" s="177"/>
      <c r="AE126" s="177"/>
      <c r="AF126" s="177"/>
      <c r="AG126" s="177"/>
      <c r="AH126" s="177"/>
      <c r="AI126" s="177"/>
      <c r="AJ126" s="177"/>
      <c r="AK126" s="177"/>
      <c r="AL126" s="177"/>
      <c r="AM126" s="177"/>
      <c r="AN126" s="177"/>
    </row>
    <row r="127" spans="1:40" x14ac:dyDescent="0.3">
      <c r="A127" s="177"/>
      <c r="B127" s="177"/>
      <c r="C127" s="177"/>
      <c r="D127" s="177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  <c r="R127" s="177"/>
      <c r="S127" s="177"/>
      <c r="T127" s="177"/>
      <c r="U127" s="177"/>
      <c r="V127" s="177"/>
      <c r="W127" s="177"/>
      <c r="X127" s="177"/>
      <c r="Y127" s="177"/>
      <c r="Z127" s="177"/>
      <c r="AA127" s="177"/>
      <c r="AB127" s="177"/>
      <c r="AC127" s="177"/>
      <c r="AD127" s="177"/>
      <c r="AE127" s="177"/>
      <c r="AF127" s="177"/>
      <c r="AG127" s="177"/>
      <c r="AH127" s="177"/>
      <c r="AI127" s="177"/>
      <c r="AJ127" s="177"/>
      <c r="AK127" s="177"/>
      <c r="AL127" s="177"/>
      <c r="AM127" s="177"/>
      <c r="AN127" s="177"/>
    </row>
    <row r="128" spans="1:40" x14ac:dyDescent="0.3">
      <c r="A128" s="177"/>
      <c r="B128" s="177"/>
      <c r="C128" s="177"/>
      <c r="D128" s="177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  <c r="R128" s="177"/>
      <c r="S128" s="177"/>
      <c r="T128" s="177"/>
      <c r="U128" s="177"/>
      <c r="V128" s="177"/>
      <c r="W128" s="177"/>
      <c r="X128" s="177"/>
      <c r="Y128" s="177"/>
      <c r="Z128" s="177"/>
      <c r="AA128" s="177"/>
      <c r="AB128" s="177"/>
      <c r="AC128" s="177"/>
      <c r="AD128" s="177"/>
      <c r="AE128" s="177"/>
      <c r="AF128" s="177"/>
      <c r="AG128" s="177"/>
      <c r="AH128" s="177"/>
      <c r="AI128" s="177"/>
      <c r="AJ128" s="177"/>
      <c r="AK128" s="177"/>
      <c r="AL128" s="177"/>
      <c r="AM128" s="177"/>
      <c r="AN128" s="177"/>
    </row>
    <row r="129" spans="1:40" x14ac:dyDescent="0.3">
      <c r="A129" s="177"/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  <c r="R129" s="177"/>
      <c r="S129" s="177"/>
      <c r="T129" s="177"/>
      <c r="U129" s="177"/>
      <c r="V129" s="177"/>
      <c r="W129" s="177"/>
      <c r="X129" s="177"/>
      <c r="Y129" s="177"/>
      <c r="Z129" s="177"/>
      <c r="AA129" s="177"/>
      <c r="AB129" s="177"/>
      <c r="AC129" s="177"/>
      <c r="AD129" s="177"/>
      <c r="AE129" s="177"/>
      <c r="AF129" s="177"/>
      <c r="AG129" s="177"/>
      <c r="AH129" s="177"/>
      <c r="AI129" s="177"/>
      <c r="AJ129" s="177"/>
      <c r="AK129" s="177"/>
      <c r="AL129" s="177"/>
      <c r="AM129" s="177"/>
      <c r="AN129" s="177"/>
    </row>
    <row r="130" spans="1:40" x14ac:dyDescent="0.3">
      <c r="A130" s="177"/>
      <c r="B130" s="177"/>
      <c r="C130" s="177"/>
      <c r="D130" s="177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7"/>
      <c r="P130" s="177"/>
      <c r="Q130" s="177"/>
      <c r="R130" s="177"/>
      <c r="S130" s="177"/>
      <c r="T130" s="177"/>
      <c r="U130" s="177"/>
      <c r="V130" s="177"/>
      <c r="W130" s="177"/>
      <c r="X130" s="177"/>
      <c r="Y130" s="177"/>
      <c r="Z130" s="177"/>
      <c r="AA130" s="177"/>
      <c r="AB130" s="177"/>
      <c r="AC130" s="177"/>
      <c r="AD130" s="177"/>
      <c r="AE130" s="177"/>
      <c r="AF130" s="177"/>
      <c r="AG130" s="177"/>
      <c r="AH130" s="177"/>
      <c r="AI130" s="177"/>
      <c r="AJ130" s="177"/>
      <c r="AK130" s="177"/>
      <c r="AL130" s="177"/>
      <c r="AM130" s="177"/>
      <c r="AN130" s="177"/>
    </row>
    <row r="131" spans="1:40" x14ac:dyDescent="0.3">
      <c r="A131" s="177"/>
      <c r="B131" s="177"/>
      <c r="C131" s="177"/>
      <c r="D131" s="177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  <c r="R131" s="177"/>
      <c r="S131" s="177"/>
      <c r="T131" s="177"/>
      <c r="U131" s="177"/>
      <c r="V131" s="177"/>
      <c r="W131" s="177"/>
      <c r="X131" s="177"/>
      <c r="Y131" s="177"/>
      <c r="Z131" s="177"/>
      <c r="AA131" s="177"/>
      <c r="AB131" s="177"/>
      <c r="AC131" s="177"/>
      <c r="AD131" s="177"/>
      <c r="AE131" s="177"/>
      <c r="AF131" s="177"/>
      <c r="AG131" s="177"/>
      <c r="AH131" s="177"/>
      <c r="AI131" s="177"/>
      <c r="AJ131" s="177"/>
      <c r="AK131" s="177"/>
      <c r="AL131" s="177"/>
      <c r="AM131" s="177"/>
      <c r="AN131" s="177"/>
    </row>
    <row r="132" spans="1:40" x14ac:dyDescent="0.3">
      <c r="A132" s="177"/>
      <c r="B132" s="177"/>
      <c r="C132" s="177"/>
      <c r="D132" s="177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  <c r="R132" s="177"/>
      <c r="S132" s="177"/>
      <c r="T132" s="177"/>
      <c r="U132" s="177"/>
      <c r="V132" s="177"/>
      <c r="W132" s="177"/>
      <c r="X132" s="177"/>
      <c r="Y132" s="177"/>
      <c r="Z132" s="177"/>
      <c r="AA132" s="177"/>
      <c r="AB132" s="177"/>
      <c r="AC132" s="177"/>
      <c r="AD132" s="177"/>
      <c r="AE132" s="177"/>
      <c r="AF132" s="177"/>
      <c r="AG132" s="177"/>
      <c r="AH132" s="177"/>
      <c r="AI132" s="177"/>
      <c r="AJ132" s="177"/>
      <c r="AK132" s="177"/>
      <c r="AL132" s="177"/>
      <c r="AM132" s="177"/>
      <c r="AN132" s="177"/>
    </row>
    <row r="133" spans="1:40" x14ac:dyDescent="0.3">
      <c r="A133" s="177"/>
      <c r="B133" s="177"/>
      <c r="C133" s="177"/>
      <c r="D133" s="177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7"/>
      <c r="P133" s="177"/>
      <c r="Q133" s="177"/>
      <c r="R133" s="177"/>
      <c r="S133" s="177"/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7"/>
      <c r="AD133" s="177"/>
      <c r="AE133" s="177"/>
      <c r="AF133" s="177"/>
      <c r="AG133" s="177"/>
      <c r="AH133" s="177"/>
      <c r="AI133" s="177"/>
      <c r="AJ133" s="177"/>
      <c r="AK133" s="177"/>
      <c r="AL133" s="177"/>
      <c r="AM133" s="177"/>
      <c r="AN133" s="177"/>
    </row>
    <row r="134" spans="1:40" x14ac:dyDescent="0.3">
      <c r="A134" s="177"/>
      <c r="B134" s="177"/>
      <c r="C134" s="177"/>
      <c r="D134" s="177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  <c r="O134" s="177"/>
      <c r="P134" s="177"/>
      <c r="Q134" s="177"/>
      <c r="R134" s="177"/>
      <c r="S134" s="177"/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7"/>
      <c r="AD134" s="177"/>
      <c r="AE134" s="177"/>
      <c r="AF134" s="177"/>
      <c r="AG134" s="177"/>
      <c r="AH134" s="177"/>
      <c r="AI134" s="177"/>
      <c r="AJ134" s="177"/>
      <c r="AK134" s="177"/>
      <c r="AL134" s="177"/>
      <c r="AM134" s="177"/>
      <c r="AN134" s="177"/>
    </row>
    <row r="135" spans="1:40" x14ac:dyDescent="0.3">
      <c r="A135" s="177"/>
      <c r="B135" s="177"/>
      <c r="C135" s="177"/>
      <c r="D135" s="177"/>
      <c r="E135" s="177"/>
      <c r="F135" s="177"/>
      <c r="G135" s="177"/>
      <c r="H135" s="177"/>
      <c r="I135" s="177"/>
      <c r="J135" s="177"/>
      <c r="K135" s="177"/>
      <c r="L135" s="177"/>
      <c r="M135" s="177"/>
      <c r="N135" s="177"/>
      <c r="O135" s="177"/>
      <c r="P135" s="177"/>
      <c r="Q135" s="177"/>
      <c r="R135" s="177"/>
      <c r="S135" s="177"/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7"/>
      <c r="AD135" s="177"/>
      <c r="AE135" s="177"/>
      <c r="AF135" s="177"/>
      <c r="AG135" s="177"/>
      <c r="AH135" s="177"/>
      <c r="AI135" s="177"/>
      <c r="AJ135" s="177"/>
      <c r="AK135" s="177"/>
      <c r="AL135" s="177"/>
      <c r="AM135" s="177"/>
      <c r="AN135" s="177"/>
    </row>
    <row r="136" spans="1:40" x14ac:dyDescent="0.3">
      <c r="A136" s="177"/>
      <c r="B136" s="177"/>
      <c r="C136" s="177"/>
      <c r="D136" s="177"/>
      <c r="E136" s="177"/>
      <c r="F136" s="177"/>
      <c r="G136" s="177"/>
      <c r="H136" s="177"/>
      <c r="I136" s="177"/>
      <c r="J136" s="177"/>
      <c r="K136" s="177"/>
      <c r="L136" s="177"/>
      <c r="M136" s="177"/>
      <c r="N136" s="177"/>
      <c r="O136" s="177"/>
      <c r="P136" s="177"/>
      <c r="Q136" s="177"/>
      <c r="R136" s="177"/>
      <c r="S136" s="177"/>
      <c r="T136" s="177"/>
      <c r="U136" s="177"/>
      <c r="V136" s="177"/>
      <c r="W136" s="177"/>
      <c r="X136" s="177"/>
      <c r="Y136" s="177"/>
      <c r="Z136" s="177"/>
      <c r="AA136" s="177"/>
      <c r="AB136" s="177"/>
      <c r="AC136" s="177"/>
      <c r="AD136" s="177"/>
      <c r="AE136" s="177"/>
      <c r="AF136" s="177"/>
      <c r="AG136" s="177"/>
      <c r="AH136" s="177"/>
      <c r="AI136" s="177"/>
      <c r="AJ136" s="177"/>
      <c r="AK136" s="177"/>
      <c r="AL136" s="177"/>
      <c r="AM136" s="177"/>
      <c r="AN136" s="177"/>
    </row>
    <row r="137" spans="1:40" x14ac:dyDescent="0.3">
      <c r="A137" s="177"/>
      <c r="B137" s="177"/>
      <c r="C137" s="177"/>
      <c r="D137" s="177"/>
      <c r="E137" s="177"/>
      <c r="F137" s="177"/>
      <c r="G137" s="177"/>
      <c r="H137" s="177"/>
      <c r="I137" s="177"/>
      <c r="J137" s="177"/>
      <c r="K137" s="177"/>
      <c r="L137" s="177"/>
      <c r="M137" s="177"/>
      <c r="N137" s="177"/>
      <c r="O137" s="177"/>
      <c r="P137" s="177"/>
      <c r="Q137" s="177"/>
      <c r="R137" s="177"/>
      <c r="S137" s="177"/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7"/>
      <c r="AD137" s="177"/>
      <c r="AE137" s="177"/>
      <c r="AF137" s="177"/>
      <c r="AG137" s="177"/>
      <c r="AH137" s="177"/>
      <c r="AI137" s="177"/>
      <c r="AJ137" s="177"/>
      <c r="AK137" s="177"/>
      <c r="AL137" s="177"/>
      <c r="AM137" s="177"/>
      <c r="AN137" s="177"/>
    </row>
    <row r="138" spans="1:40" x14ac:dyDescent="0.3">
      <c r="A138" s="177"/>
      <c r="B138" s="177"/>
      <c r="C138" s="177"/>
      <c r="D138" s="177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7"/>
      <c r="P138" s="177"/>
      <c r="Q138" s="177"/>
      <c r="R138" s="177"/>
      <c r="S138" s="177"/>
      <c r="T138" s="177"/>
      <c r="U138" s="177"/>
      <c r="V138" s="177"/>
      <c r="W138" s="177"/>
      <c r="X138" s="177"/>
      <c r="Y138" s="177"/>
      <c r="Z138" s="177"/>
      <c r="AA138" s="177"/>
      <c r="AB138" s="177"/>
      <c r="AC138" s="177"/>
      <c r="AD138" s="177"/>
      <c r="AE138" s="177"/>
      <c r="AF138" s="177"/>
      <c r="AG138" s="177"/>
      <c r="AH138" s="177"/>
      <c r="AI138" s="177"/>
      <c r="AJ138" s="177"/>
      <c r="AK138" s="177"/>
      <c r="AL138" s="177"/>
      <c r="AM138" s="177"/>
      <c r="AN138" s="177"/>
    </row>
    <row r="139" spans="1:40" x14ac:dyDescent="0.3">
      <c r="A139" s="177"/>
      <c r="B139" s="177"/>
      <c r="C139" s="177"/>
      <c r="D139" s="177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7"/>
      <c r="P139" s="177"/>
      <c r="Q139" s="177"/>
      <c r="R139" s="177"/>
      <c r="S139" s="177"/>
      <c r="T139" s="177"/>
      <c r="U139" s="177"/>
      <c r="V139" s="177"/>
      <c r="W139" s="177"/>
      <c r="X139" s="177"/>
      <c r="Y139" s="177"/>
      <c r="Z139" s="177"/>
      <c r="AA139" s="177"/>
      <c r="AB139" s="177"/>
      <c r="AC139" s="177"/>
      <c r="AD139" s="177"/>
      <c r="AE139" s="177"/>
      <c r="AF139" s="177"/>
      <c r="AG139" s="177"/>
      <c r="AH139" s="177"/>
      <c r="AI139" s="177"/>
      <c r="AJ139" s="177"/>
      <c r="AK139" s="177"/>
      <c r="AL139" s="177"/>
      <c r="AM139" s="177"/>
      <c r="AN139" s="177"/>
    </row>
    <row r="140" spans="1:40" x14ac:dyDescent="0.3">
      <c r="A140" s="177"/>
      <c r="B140" s="177"/>
      <c r="C140" s="177"/>
      <c r="D140" s="177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7"/>
      <c r="P140" s="177"/>
      <c r="Q140" s="177"/>
      <c r="R140" s="177"/>
      <c r="S140" s="177"/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7"/>
      <c r="AD140" s="177"/>
      <c r="AE140" s="177"/>
      <c r="AF140" s="177"/>
      <c r="AG140" s="177"/>
      <c r="AH140" s="177"/>
      <c r="AI140" s="177"/>
      <c r="AJ140" s="177"/>
      <c r="AK140" s="177"/>
      <c r="AL140" s="177"/>
      <c r="AM140" s="177"/>
      <c r="AN140" s="177"/>
    </row>
    <row r="141" spans="1:40" x14ac:dyDescent="0.3">
      <c r="A141" s="177"/>
      <c r="B141" s="177"/>
      <c r="C141" s="177"/>
      <c r="D141" s="177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7"/>
      <c r="P141" s="177"/>
      <c r="Q141" s="177"/>
      <c r="R141" s="177"/>
      <c r="S141" s="177"/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7"/>
      <c r="AD141" s="177"/>
      <c r="AE141" s="177"/>
      <c r="AF141" s="177"/>
      <c r="AG141" s="177"/>
      <c r="AH141" s="177"/>
      <c r="AI141" s="177"/>
      <c r="AJ141" s="177"/>
      <c r="AK141" s="177"/>
      <c r="AL141" s="177"/>
      <c r="AM141" s="177"/>
      <c r="AN141" s="177"/>
    </row>
    <row r="142" spans="1:40" x14ac:dyDescent="0.3">
      <c r="A142" s="177"/>
      <c r="B142" s="177"/>
      <c r="C142" s="177"/>
      <c r="D142" s="177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7"/>
      <c r="P142" s="177"/>
      <c r="Q142" s="177"/>
      <c r="R142" s="177"/>
      <c r="S142" s="177"/>
      <c r="T142" s="177"/>
      <c r="U142" s="177"/>
      <c r="V142" s="177"/>
      <c r="W142" s="177"/>
      <c r="X142" s="177"/>
      <c r="Y142" s="177"/>
      <c r="Z142" s="177"/>
      <c r="AA142" s="177"/>
      <c r="AB142" s="177"/>
      <c r="AC142" s="177"/>
      <c r="AD142" s="177"/>
      <c r="AE142" s="177"/>
      <c r="AF142" s="177"/>
      <c r="AG142" s="177"/>
      <c r="AH142" s="177"/>
      <c r="AI142" s="177"/>
      <c r="AJ142" s="177"/>
      <c r="AK142" s="177"/>
      <c r="AL142" s="177"/>
      <c r="AM142" s="177"/>
      <c r="AN142" s="177"/>
    </row>
    <row r="143" spans="1:40" x14ac:dyDescent="0.3">
      <c r="A143" s="177"/>
      <c r="B143" s="177"/>
      <c r="C143" s="177"/>
      <c r="D143" s="177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7"/>
      <c r="P143" s="177"/>
      <c r="Q143" s="177"/>
      <c r="R143" s="177"/>
      <c r="S143" s="177"/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7"/>
      <c r="AD143" s="177"/>
      <c r="AE143" s="177"/>
      <c r="AF143" s="177"/>
      <c r="AG143" s="177"/>
      <c r="AH143" s="177"/>
      <c r="AI143" s="177"/>
      <c r="AJ143" s="177"/>
      <c r="AK143" s="177"/>
      <c r="AL143" s="177"/>
      <c r="AM143" s="177"/>
      <c r="AN143" s="177"/>
    </row>
    <row r="144" spans="1:40" x14ac:dyDescent="0.3">
      <c r="A144" s="177"/>
      <c r="B144" s="177"/>
      <c r="C144" s="177"/>
      <c r="D144" s="177"/>
      <c r="E144" s="177"/>
      <c r="F144" s="177"/>
      <c r="G144" s="177"/>
      <c r="H144" s="177"/>
      <c r="I144" s="177"/>
      <c r="J144" s="177"/>
      <c r="K144" s="177"/>
      <c r="L144" s="177"/>
      <c r="M144" s="177"/>
      <c r="N144" s="177"/>
      <c r="O144" s="177"/>
      <c r="P144" s="177"/>
      <c r="Q144" s="177"/>
      <c r="R144" s="177"/>
      <c r="S144" s="177"/>
      <c r="T144" s="177"/>
      <c r="U144" s="177"/>
      <c r="V144" s="177"/>
      <c r="W144" s="177"/>
      <c r="X144" s="177"/>
      <c r="Y144" s="177"/>
      <c r="Z144" s="177"/>
      <c r="AA144" s="177"/>
      <c r="AB144" s="177"/>
      <c r="AC144" s="177"/>
      <c r="AD144" s="177"/>
      <c r="AE144" s="177"/>
      <c r="AF144" s="177"/>
      <c r="AG144" s="177"/>
      <c r="AH144" s="177"/>
      <c r="AI144" s="177"/>
      <c r="AJ144" s="177"/>
      <c r="AK144" s="177"/>
      <c r="AL144" s="177"/>
      <c r="AM144" s="177"/>
      <c r="AN144" s="177"/>
    </row>
    <row r="145" spans="1:40" x14ac:dyDescent="0.3">
      <c r="A145" s="177"/>
      <c r="B145" s="177"/>
      <c r="C145" s="177"/>
      <c r="D145" s="177"/>
      <c r="E145" s="177"/>
      <c r="F145" s="177"/>
      <c r="G145" s="177"/>
      <c r="H145" s="177"/>
      <c r="I145" s="177"/>
      <c r="J145" s="177"/>
      <c r="K145" s="177"/>
      <c r="L145" s="177"/>
      <c r="M145" s="177"/>
      <c r="N145" s="177"/>
      <c r="O145" s="177"/>
      <c r="P145" s="177"/>
      <c r="Q145" s="177"/>
      <c r="R145" s="177"/>
      <c r="S145" s="177"/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7"/>
      <c r="AD145" s="177"/>
      <c r="AE145" s="177"/>
      <c r="AF145" s="177"/>
      <c r="AG145" s="177"/>
      <c r="AH145" s="177"/>
      <c r="AI145" s="177"/>
      <c r="AJ145" s="177"/>
      <c r="AK145" s="177"/>
      <c r="AL145" s="177"/>
      <c r="AM145" s="177"/>
      <c r="AN145" s="177"/>
    </row>
    <row r="146" spans="1:40" x14ac:dyDescent="0.3">
      <c r="A146" s="177"/>
      <c r="B146" s="177"/>
      <c r="C146" s="177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  <c r="AI146" s="177"/>
      <c r="AJ146" s="177"/>
      <c r="AK146" s="177"/>
      <c r="AL146" s="177"/>
      <c r="AM146" s="177"/>
      <c r="AN146" s="177"/>
    </row>
    <row r="147" spans="1:40" x14ac:dyDescent="0.3">
      <c r="A147" s="177"/>
      <c r="B147" s="177"/>
      <c r="C147" s="177"/>
      <c r="D147" s="177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  <c r="R147" s="177"/>
      <c r="S147" s="177"/>
      <c r="T147" s="177"/>
      <c r="U147" s="177"/>
      <c r="V147" s="177"/>
      <c r="W147" s="177"/>
      <c r="X147" s="177"/>
      <c r="Y147" s="177"/>
      <c r="Z147" s="177"/>
      <c r="AA147" s="177"/>
      <c r="AB147" s="177"/>
      <c r="AC147" s="177"/>
      <c r="AD147" s="177"/>
      <c r="AE147" s="177"/>
      <c r="AF147" s="177"/>
      <c r="AG147" s="177"/>
      <c r="AH147" s="177"/>
      <c r="AI147" s="177"/>
      <c r="AJ147" s="177"/>
      <c r="AK147" s="177"/>
      <c r="AL147" s="177"/>
      <c r="AM147" s="177"/>
      <c r="AN147" s="177"/>
    </row>
    <row r="148" spans="1:40" x14ac:dyDescent="0.3">
      <c r="A148" s="177"/>
      <c r="B148" s="177"/>
      <c r="C148" s="177"/>
      <c r="D148" s="177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  <c r="R148" s="177"/>
      <c r="S148" s="177"/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7"/>
      <c r="AD148" s="177"/>
      <c r="AE148" s="177"/>
      <c r="AF148" s="177"/>
      <c r="AG148" s="177"/>
      <c r="AH148" s="177"/>
      <c r="AI148" s="177"/>
      <c r="AJ148" s="177"/>
      <c r="AK148" s="177"/>
      <c r="AL148" s="177"/>
      <c r="AM148" s="177"/>
      <c r="AN148" s="177"/>
    </row>
    <row r="149" spans="1:40" x14ac:dyDescent="0.3">
      <c r="A149" s="177"/>
      <c r="B149" s="177"/>
      <c r="C149" s="177"/>
      <c r="D149" s="177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  <c r="R149" s="177"/>
      <c r="S149" s="177"/>
      <c r="T149" s="177"/>
      <c r="U149" s="177"/>
      <c r="V149" s="177"/>
      <c r="W149" s="177"/>
      <c r="X149" s="177"/>
      <c r="Y149" s="177"/>
      <c r="Z149" s="177"/>
      <c r="AA149" s="177"/>
      <c r="AB149" s="177"/>
      <c r="AC149" s="177"/>
      <c r="AD149" s="177"/>
      <c r="AE149" s="177"/>
      <c r="AF149" s="177"/>
      <c r="AG149" s="177"/>
      <c r="AH149" s="177"/>
      <c r="AI149" s="177"/>
      <c r="AJ149" s="177"/>
      <c r="AK149" s="177"/>
      <c r="AL149" s="177"/>
      <c r="AM149" s="177"/>
      <c r="AN149" s="177"/>
    </row>
    <row r="150" spans="1:40" x14ac:dyDescent="0.3">
      <c r="A150" s="177"/>
      <c r="B150" s="177"/>
      <c r="C150" s="177"/>
      <c r="D150" s="177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  <c r="R150" s="177"/>
      <c r="S150" s="177"/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7"/>
      <c r="AD150" s="177"/>
      <c r="AE150" s="177"/>
      <c r="AF150" s="177"/>
      <c r="AG150" s="177"/>
      <c r="AH150" s="177"/>
      <c r="AI150" s="177"/>
      <c r="AJ150" s="177"/>
      <c r="AK150" s="177"/>
      <c r="AL150" s="177"/>
      <c r="AM150" s="177"/>
      <c r="AN150" s="177"/>
    </row>
    <row r="151" spans="1:40" x14ac:dyDescent="0.3">
      <c r="A151" s="177"/>
      <c r="B151" s="177"/>
      <c r="C151" s="177"/>
      <c r="D151" s="177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  <c r="R151" s="177"/>
      <c r="S151" s="177"/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7"/>
      <c r="AD151" s="177"/>
      <c r="AE151" s="177"/>
      <c r="AF151" s="177"/>
      <c r="AG151" s="177"/>
      <c r="AH151" s="177"/>
      <c r="AI151" s="177"/>
      <c r="AJ151" s="177"/>
      <c r="AK151" s="177"/>
      <c r="AL151" s="177"/>
      <c r="AM151" s="177"/>
      <c r="AN151" s="177"/>
    </row>
    <row r="152" spans="1:40" x14ac:dyDescent="0.3">
      <c r="A152" s="177"/>
      <c r="B152" s="177"/>
      <c r="C152" s="177"/>
      <c r="D152" s="177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  <c r="R152" s="177"/>
      <c r="S152" s="177"/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7"/>
      <c r="AD152" s="177"/>
      <c r="AE152" s="177"/>
      <c r="AF152" s="177"/>
      <c r="AG152" s="177"/>
      <c r="AH152" s="177"/>
      <c r="AI152" s="177"/>
      <c r="AJ152" s="177"/>
      <c r="AK152" s="177"/>
      <c r="AL152" s="177"/>
      <c r="AM152" s="177"/>
      <c r="AN152" s="177"/>
    </row>
    <row r="153" spans="1:40" x14ac:dyDescent="0.3">
      <c r="A153" s="177"/>
      <c r="B153" s="177"/>
      <c r="C153" s="177"/>
      <c r="D153" s="177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  <c r="R153" s="177"/>
      <c r="S153" s="177"/>
      <c r="T153" s="177"/>
      <c r="U153" s="177"/>
      <c r="V153" s="177"/>
      <c r="W153" s="177"/>
      <c r="X153" s="177"/>
      <c r="Y153" s="177"/>
      <c r="Z153" s="177"/>
      <c r="AA153" s="177"/>
      <c r="AB153" s="177"/>
      <c r="AC153" s="177"/>
      <c r="AD153" s="177"/>
      <c r="AE153" s="177"/>
      <c r="AF153" s="177"/>
      <c r="AG153" s="177"/>
      <c r="AH153" s="177"/>
      <c r="AI153" s="177"/>
      <c r="AJ153" s="177"/>
      <c r="AK153" s="177"/>
      <c r="AL153" s="177"/>
      <c r="AM153" s="177"/>
      <c r="AN153" s="177"/>
    </row>
    <row r="154" spans="1:40" x14ac:dyDescent="0.3">
      <c r="A154" s="177"/>
      <c r="B154" s="177"/>
      <c r="C154" s="177"/>
      <c r="D154" s="177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  <c r="R154" s="177"/>
      <c r="S154" s="177"/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7"/>
      <c r="AD154" s="177"/>
      <c r="AE154" s="177"/>
      <c r="AF154" s="177"/>
      <c r="AG154" s="177"/>
      <c r="AH154" s="177"/>
      <c r="AI154" s="177"/>
      <c r="AJ154" s="177"/>
      <c r="AK154" s="177"/>
      <c r="AL154" s="177"/>
      <c r="AM154" s="177"/>
      <c r="AN154" s="177"/>
    </row>
    <row r="155" spans="1:40" x14ac:dyDescent="0.3">
      <c r="A155" s="177"/>
      <c r="B155" s="177"/>
      <c r="C155" s="177"/>
      <c r="D155" s="177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  <c r="R155" s="177"/>
      <c r="S155" s="177"/>
      <c r="T155" s="177"/>
      <c r="U155" s="177"/>
      <c r="V155" s="177"/>
      <c r="W155" s="177"/>
      <c r="X155" s="177"/>
      <c r="Y155" s="177"/>
      <c r="Z155" s="177"/>
      <c r="AA155" s="177"/>
      <c r="AB155" s="177"/>
      <c r="AC155" s="177"/>
      <c r="AD155" s="177"/>
      <c r="AE155" s="177"/>
      <c r="AF155" s="177"/>
      <c r="AG155" s="177"/>
      <c r="AH155" s="177"/>
      <c r="AI155" s="177"/>
      <c r="AJ155" s="177"/>
      <c r="AK155" s="177"/>
      <c r="AL155" s="177"/>
      <c r="AM155" s="177"/>
      <c r="AN155" s="177"/>
    </row>
    <row r="156" spans="1:40" ht="14.4" customHeight="1" x14ac:dyDescent="0.3">
      <c r="A156" s="177"/>
      <c r="B156" s="177"/>
      <c r="C156" s="177"/>
      <c r="D156" s="177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  <c r="R156" s="177"/>
      <c r="S156" s="177"/>
      <c r="T156" s="177"/>
      <c r="U156" s="177"/>
      <c r="V156" s="177"/>
      <c r="W156" s="177"/>
      <c r="X156" s="177"/>
      <c r="Y156" s="177"/>
      <c r="Z156" s="177"/>
      <c r="AA156" s="177"/>
      <c r="AB156" s="177"/>
      <c r="AC156" s="177"/>
      <c r="AD156" s="177"/>
      <c r="AE156" s="177"/>
      <c r="AF156" s="177"/>
      <c r="AG156" s="177"/>
      <c r="AH156" s="177"/>
      <c r="AI156" s="177"/>
      <c r="AJ156" s="177"/>
      <c r="AK156" s="177"/>
      <c r="AL156" s="177"/>
      <c r="AM156" s="177"/>
      <c r="AN156" s="177"/>
    </row>
    <row r="157" spans="1:40" x14ac:dyDescent="0.3">
      <c r="A157" s="177"/>
      <c r="B157" s="177"/>
      <c r="C157" s="177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77"/>
      <c r="AI157" s="177"/>
      <c r="AJ157" s="177"/>
      <c r="AK157" s="177"/>
      <c r="AL157" s="177"/>
      <c r="AM157" s="177"/>
      <c r="AN157" s="177"/>
    </row>
    <row r="158" spans="1:40" x14ac:dyDescent="0.3">
      <c r="A158" s="177"/>
      <c r="B158" s="177"/>
      <c r="C158" s="177"/>
      <c r="D158" s="177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  <c r="R158" s="177"/>
      <c r="S158" s="177"/>
      <c r="T158" s="177"/>
      <c r="U158" s="177"/>
      <c r="V158" s="177"/>
      <c r="W158" s="177"/>
      <c r="X158" s="177"/>
      <c r="Y158" s="177"/>
      <c r="Z158" s="177"/>
      <c r="AA158" s="177"/>
      <c r="AB158" s="177"/>
      <c r="AC158" s="177"/>
      <c r="AD158" s="177"/>
      <c r="AE158" s="177"/>
      <c r="AF158" s="177"/>
      <c r="AG158" s="177"/>
      <c r="AH158" s="177"/>
      <c r="AI158" s="177"/>
      <c r="AJ158" s="177"/>
      <c r="AK158" s="177"/>
      <c r="AL158" s="177"/>
      <c r="AM158" s="177"/>
      <c r="AN158" s="177"/>
    </row>
    <row r="159" spans="1:40" x14ac:dyDescent="0.3">
      <c r="A159" s="177"/>
      <c r="B159" s="177"/>
      <c r="C159" s="177"/>
      <c r="D159" s="177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  <c r="R159" s="177"/>
      <c r="S159" s="177"/>
      <c r="T159" s="177"/>
      <c r="U159" s="177"/>
      <c r="V159" s="177"/>
      <c r="W159" s="177"/>
      <c r="X159" s="177"/>
      <c r="Y159" s="177"/>
      <c r="Z159" s="177"/>
      <c r="AA159" s="177"/>
      <c r="AB159" s="177"/>
      <c r="AC159" s="177"/>
      <c r="AD159" s="177"/>
      <c r="AE159" s="177"/>
      <c r="AF159" s="177"/>
      <c r="AG159" s="177"/>
      <c r="AH159" s="177"/>
      <c r="AI159" s="177"/>
      <c r="AJ159" s="177"/>
      <c r="AK159" s="177"/>
      <c r="AL159" s="177"/>
      <c r="AM159" s="177"/>
      <c r="AN159" s="177"/>
    </row>
    <row r="160" spans="1:40" x14ac:dyDescent="0.3">
      <c r="A160" s="177"/>
      <c r="B160" s="177"/>
      <c r="C160" s="177"/>
      <c r="D160" s="177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  <c r="R160" s="177"/>
      <c r="S160" s="177"/>
      <c r="T160" s="177"/>
      <c r="U160" s="177"/>
      <c r="V160" s="177"/>
      <c r="W160" s="177"/>
      <c r="X160" s="177"/>
      <c r="Y160" s="177"/>
      <c r="Z160" s="177"/>
      <c r="AA160" s="177"/>
      <c r="AB160" s="177"/>
      <c r="AC160" s="177"/>
      <c r="AD160" s="177"/>
      <c r="AE160" s="177"/>
      <c r="AF160" s="177"/>
      <c r="AG160" s="177"/>
      <c r="AH160" s="177"/>
      <c r="AI160" s="177"/>
      <c r="AJ160" s="177"/>
      <c r="AK160" s="177"/>
      <c r="AL160" s="177"/>
      <c r="AM160" s="177"/>
      <c r="AN160" s="177"/>
    </row>
    <row r="161" spans="1:40" x14ac:dyDescent="0.3">
      <c r="A161" s="177"/>
      <c r="B161" s="177"/>
      <c r="C161" s="177"/>
      <c r="D161" s="177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  <c r="R161" s="177"/>
      <c r="S161" s="177"/>
      <c r="T161" s="177"/>
      <c r="U161" s="177"/>
      <c r="V161" s="177"/>
      <c r="W161" s="177"/>
      <c r="X161" s="177"/>
      <c r="Y161" s="177"/>
      <c r="Z161" s="177"/>
      <c r="AA161" s="177"/>
      <c r="AB161" s="177"/>
      <c r="AC161" s="177"/>
      <c r="AD161" s="177"/>
      <c r="AE161" s="177"/>
      <c r="AF161" s="177"/>
      <c r="AG161" s="177"/>
      <c r="AH161" s="177"/>
      <c r="AI161" s="177"/>
      <c r="AJ161" s="177"/>
      <c r="AK161" s="177"/>
      <c r="AL161" s="177"/>
      <c r="AM161" s="177"/>
      <c r="AN161" s="177"/>
    </row>
    <row r="162" spans="1:40" x14ac:dyDescent="0.3">
      <c r="A162" s="177"/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  <c r="R162" s="177"/>
      <c r="S162" s="177"/>
      <c r="T162" s="177"/>
      <c r="U162" s="177"/>
      <c r="V162" s="177"/>
      <c r="W162" s="177"/>
      <c r="X162" s="177"/>
      <c r="Y162" s="177"/>
      <c r="Z162" s="177"/>
      <c r="AA162" s="177"/>
      <c r="AB162" s="177"/>
      <c r="AC162" s="177"/>
      <c r="AD162" s="177"/>
      <c r="AE162" s="177"/>
      <c r="AF162" s="177"/>
      <c r="AG162" s="177"/>
      <c r="AH162" s="177"/>
      <c r="AI162" s="177"/>
      <c r="AJ162" s="177"/>
      <c r="AK162" s="177"/>
      <c r="AL162" s="177"/>
      <c r="AM162" s="177"/>
      <c r="AN162" s="177"/>
    </row>
    <row r="163" spans="1:40" x14ac:dyDescent="0.3">
      <c r="A163" s="177"/>
      <c r="B163" s="177"/>
      <c r="C163" s="177"/>
      <c r="D163" s="177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  <c r="R163" s="177"/>
      <c r="S163" s="177"/>
      <c r="T163" s="177"/>
      <c r="U163" s="177"/>
      <c r="V163" s="177"/>
      <c r="W163" s="177"/>
      <c r="X163" s="177"/>
      <c r="Y163" s="177"/>
      <c r="Z163" s="177"/>
      <c r="AA163" s="177"/>
      <c r="AB163" s="177"/>
      <c r="AC163" s="177"/>
      <c r="AD163" s="177"/>
      <c r="AE163" s="177"/>
      <c r="AF163" s="177"/>
      <c r="AG163" s="177"/>
      <c r="AH163" s="177"/>
      <c r="AI163" s="177"/>
      <c r="AJ163" s="177"/>
      <c r="AK163" s="177"/>
      <c r="AL163" s="177"/>
      <c r="AM163" s="177"/>
      <c r="AN163" s="177"/>
    </row>
    <row r="164" spans="1:40" x14ac:dyDescent="0.3">
      <c r="A164" s="177"/>
      <c r="B164" s="177"/>
      <c r="C164" s="177"/>
      <c r="D164" s="177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  <c r="R164" s="177"/>
      <c r="S164" s="177"/>
      <c r="T164" s="177"/>
      <c r="U164" s="177"/>
      <c r="V164" s="177"/>
      <c r="W164" s="177"/>
      <c r="X164" s="177"/>
      <c r="Y164" s="177"/>
      <c r="Z164" s="177"/>
      <c r="AA164" s="177"/>
      <c r="AB164" s="177"/>
      <c r="AC164" s="177"/>
      <c r="AD164" s="177"/>
      <c r="AE164" s="177"/>
      <c r="AF164" s="177"/>
      <c r="AG164" s="177"/>
      <c r="AH164" s="177"/>
      <c r="AI164" s="177"/>
      <c r="AJ164" s="177"/>
      <c r="AK164" s="177"/>
      <c r="AL164" s="177"/>
      <c r="AM164" s="177"/>
      <c r="AN164" s="177"/>
    </row>
    <row r="165" spans="1:40" x14ac:dyDescent="0.3">
      <c r="A165" s="177"/>
      <c r="B165" s="177"/>
      <c r="C165" s="177"/>
      <c r="D165" s="177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  <c r="R165" s="177"/>
      <c r="S165" s="177"/>
      <c r="T165" s="177"/>
      <c r="U165" s="177"/>
      <c r="V165" s="177"/>
      <c r="W165" s="177"/>
      <c r="X165" s="177"/>
      <c r="Y165" s="177"/>
      <c r="Z165" s="177"/>
      <c r="AA165" s="177"/>
      <c r="AB165" s="177"/>
      <c r="AC165" s="177"/>
      <c r="AD165" s="177"/>
      <c r="AE165" s="177"/>
      <c r="AF165" s="177"/>
      <c r="AG165" s="177"/>
      <c r="AH165" s="177"/>
      <c r="AI165" s="177"/>
      <c r="AJ165" s="177"/>
      <c r="AK165" s="177"/>
      <c r="AL165" s="177"/>
      <c r="AM165" s="177"/>
      <c r="AN165" s="177"/>
    </row>
    <row r="166" spans="1:40" x14ac:dyDescent="0.3">
      <c r="A166" s="177"/>
      <c r="B166" s="177"/>
      <c r="C166" s="177"/>
      <c r="D166" s="177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  <c r="R166" s="177"/>
      <c r="S166" s="177"/>
      <c r="T166" s="177"/>
      <c r="U166" s="177"/>
      <c r="V166" s="177"/>
      <c r="W166" s="177"/>
      <c r="X166" s="177"/>
      <c r="Y166" s="177"/>
      <c r="Z166" s="177"/>
      <c r="AA166" s="177"/>
      <c r="AB166" s="177"/>
      <c r="AC166" s="177"/>
      <c r="AD166" s="177"/>
      <c r="AE166" s="177"/>
      <c r="AF166" s="177"/>
      <c r="AG166" s="177"/>
      <c r="AH166" s="177"/>
      <c r="AI166" s="177"/>
      <c r="AJ166" s="177"/>
      <c r="AK166" s="177"/>
      <c r="AL166" s="177"/>
      <c r="AM166" s="177"/>
      <c r="AN166" s="177"/>
    </row>
    <row r="167" spans="1:40" x14ac:dyDescent="0.3">
      <c r="A167" s="177"/>
      <c r="B167" s="177"/>
      <c r="C167" s="177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  <c r="AI167" s="177"/>
      <c r="AJ167" s="177"/>
      <c r="AK167" s="177"/>
      <c r="AL167" s="177"/>
      <c r="AM167" s="177"/>
      <c r="AN167" s="177"/>
    </row>
    <row r="168" spans="1:40" x14ac:dyDescent="0.3">
      <c r="A168" s="177"/>
      <c r="B168" s="177"/>
      <c r="C168" s="177"/>
      <c r="D168" s="177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  <c r="R168" s="177"/>
      <c r="S168" s="177"/>
      <c r="T168" s="177"/>
      <c r="U168" s="177"/>
      <c r="V168" s="177"/>
      <c r="W168" s="177"/>
      <c r="X168" s="177"/>
      <c r="Y168" s="177"/>
      <c r="Z168" s="177"/>
      <c r="AA168" s="177"/>
      <c r="AB168" s="177"/>
      <c r="AC168" s="177"/>
      <c r="AD168" s="177"/>
      <c r="AE168" s="177"/>
      <c r="AF168" s="177"/>
      <c r="AG168" s="177"/>
      <c r="AH168" s="177"/>
      <c r="AI168" s="177"/>
      <c r="AJ168" s="177"/>
      <c r="AK168" s="177"/>
      <c r="AL168" s="177"/>
      <c r="AM168" s="177"/>
      <c r="AN168" s="177"/>
    </row>
    <row r="169" spans="1:40" x14ac:dyDescent="0.3">
      <c r="A169" s="177"/>
      <c r="B169" s="177"/>
      <c r="C169" s="177"/>
      <c r="D169" s="177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  <c r="R169" s="177"/>
      <c r="S169" s="177"/>
      <c r="T169" s="177"/>
      <c r="U169" s="177"/>
      <c r="V169" s="177"/>
      <c r="W169" s="177"/>
      <c r="X169" s="177"/>
      <c r="Y169" s="177"/>
      <c r="Z169" s="177"/>
      <c r="AA169" s="177"/>
      <c r="AB169" s="177"/>
      <c r="AC169" s="177"/>
      <c r="AD169" s="177"/>
      <c r="AE169" s="177"/>
      <c r="AF169" s="177"/>
      <c r="AG169" s="177"/>
      <c r="AH169" s="177"/>
      <c r="AI169" s="177"/>
      <c r="AJ169" s="177"/>
      <c r="AK169" s="177"/>
      <c r="AL169" s="177"/>
      <c r="AM169" s="177"/>
      <c r="AN169" s="177"/>
    </row>
    <row r="170" spans="1:40" x14ac:dyDescent="0.3">
      <c r="A170" s="177"/>
      <c r="B170" s="177"/>
      <c r="C170" s="177"/>
      <c r="D170" s="177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  <c r="R170" s="177"/>
      <c r="S170" s="177"/>
      <c r="T170" s="177"/>
      <c r="U170" s="177"/>
      <c r="V170" s="177"/>
      <c r="W170" s="177"/>
      <c r="X170" s="177"/>
      <c r="Y170" s="177"/>
      <c r="Z170" s="177"/>
      <c r="AA170" s="177"/>
      <c r="AB170" s="177"/>
      <c r="AC170" s="177"/>
      <c r="AD170" s="177"/>
      <c r="AE170" s="177"/>
      <c r="AF170" s="177"/>
      <c r="AG170" s="177"/>
      <c r="AH170" s="177"/>
      <c r="AI170" s="177"/>
      <c r="AJ170" s="177"/>
      <c r="AK170" s="177"/>
      <c r="AL170" s="177"/>
      <c r="AM170" s="177"/>
      <c r="AN170" s="177"/>
    </row>
    <row r="171" spans="1:40" x14ac:dyDescent="0.3">
      <c r="A171" s="177"/>
      <c r="B171" s="177"/>
      <c r="C171" s="177"/>
      <c r="D171" s="177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  <c r="R171" s="177"/>
      <c r="S171" s="177"/>
      <c r="T171" s="177"/>
      <c r="U171" s="177"/>
      <c r="V171" s="177"/>
      <c r="W171" s="177"/>
      <c r="X171" s="177"/>
      <c r="Y171" s="177"/>
      <c r="Z171" s="177"/>
      <c r="AA171" s="177"/>
      <c r="AB171" s="177"/>
      <c r="AC171" s="177"/>
      <c r="AD171" s="177"/>
      <c r="AE171" s="177"/>
      <c r="AF171" s="177"/>
      <c r="AG171" s="177"/>
      <c r="AH171" s="177"/>
      <c r="AI171" s="177"/>
      <c r="AJ171" s="177"/>
      <c r="AK171" s="177"/>
      <c r="AL171" s="177"/>
      <c r="AM171" s="177"/>
      <c r="AN171" s="177"/>
    </row>
    <row r="172" spans="1:40" x14ac:dyDescent="0.3">
      <c r="A172" s="177"/>
      <c r="B172" s="177"/>
      <c r="C172" s="177"/>
      <c r="D172" s="177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  <c r="R172" s="177"/>
      <c r="S172" s="177"/>
      <c r="T172" s="177"/>
      <c r="U172" s="177"/>
      <c r="V172" s="177"/>
      <c r="W172" s="177"/>
      <c r="X172" s="177"/>
      <c r="Y172" s="177"/>
      <c r="Z172" s="177"/>
      <c r="AA172" s="177"/>
      <c r="AB172" s="177"/>
      <c r="AC172" s="177"/>
      <c r="AD172" s="177"/>
      <c r="AE172" s="177"/>
      <c r="AF172" s="177"/>
      <c r="AG172" s="177"/>
      <c r="AH172" s="177"/>
      <c r="AI172" s="177"/>
      <c r="AJ172" s="177"/>
      <c r="AK172" s="177"/>
      <c r="AL172" s="177"/>
      <c r="AM172" s="177"/>
      <c r="AN172" s="177"/>
    </row>
    <row r="173" spans="1:40" x14ac:dyDescent="0.3">
      <c r="A173" s="177"/>
      <c r="B173" s="177"/>
      <c r="C173" s="177"/>
      <c r="D173" s="177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  <c r="R173" s="177"/>
      <c r="S173" s="177"/>
      <c r="T173" s="177"/>
      <c r="U173" s="177"/>
      <c r="V173" s="177"/>
      <c r="W173" s="177"/>
      <c r="X173" s="177"/>
      <c r="Y173" s="177"/>
      <c r="Z173" s="177"/>
      <c r="AA173" s="177"/>
      <c r="AB173" s="177"/>
      <c r="AC173" s="177"/>
      <c r="AD173" s="177"/>
      <c r="AE173" s="177"/>
      <c r="AF173" s="177"/>
      <c r="AG173" s="177"/>
      <c r="AH173" s="177"/>
      <c r="AI173" s="177"/>
      <c r="AJ173" s="177"/>
      <c r="AK173" s="177"/>
      <c r="AL173" s="177"/>
      <c r="AM173" s="177"/>
      <c r="AN173" s="177"/>
    </row>
    <row r="174" spans="1:40" x14ac:dyDescent="0.3">
      <c r="A174" s="177"/>
      <c r="B174" s="177"/>
      <c r="C174" s="177"/>
      <c r="D174" s="177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  <c r="R174" s="177"/>
      <c r="S174" s="177"/>
      <c r="T174" s="177"/>
      <c r="U174" s="177"/>
      <c r="V174" s="177"/>
      <c r="W174" s="177"/>
      <c r="X174" s="177"/>
      <c r="Y174" s="177"/>
      <c r="Z174" s="177"/>
      <c r="AA174" s="177"/>
      <c r="AB174" s="177"/>
      <c r="AC174" s="177"/>
      <c r="AD174" s="177"/>
      <c r="AE174" s="177"/>
      <c r="AF174" s="177"/>
      <c r="AG174" s="177"/>
      <c r="AH174" s="177"/>
      <c r="AI174" s="177"/>
      <c r="AJ174" s="177"/>
      <c r="AK174" s="177"/>
      <c r="AL174" s="177"/>
      <c r="AM174" s="177"/>
      <c r="AN174" s="177"/>
    </row>
    <row r="175" spans="1:40" x14ac:dyDescent="0.3">
      <c r="A175" s="177"/>
      <c r="B175" s="177"/>
      <c r="C175" s="177"/>
      <c r="D175" s="177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7"/>
      <c r="P175" s="177"/>
      <c r="Q175" s="177"/>
      <c r="R175" s="177"/>
      <c r="S175" s="177"/>
      <c r="T175" s="177"/>
      <c r="U175" s="177"/>
      <c r="V175" s="177"/>
      <c r="W175" s="177"/>
      <c r="X175" s="177"/>
      <c r="Y175" s="177"/>
      <c r="Z175" s="177"/>
      <c r="AA175" s="177"/>
      <c r="AB175" s="177"/>
      <c r="AC175" s="177"/>
      <c r="AD175" s="177"/>
      <c r="AE175" s="177"/>
      <c r="AF175" s="177"/>
      <c r="AG175" s="177"/>
      <c r="AH175" s="177"/>
      <c r="AI175" s="177"/>
      <c r="AJ175" s="177"/>
      <c r="AK175" s="177"/>
      <c r="AL175" s="177"/>
      <c r="AM175" s="177"/>
      <c r="AN175" s="177"/>
    </row>
    <row r="176" spans="1:40" x14ac:dyDescent="0.3">
      <c r="A176" s="177"/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77"/>
      <c r="P176" s="177"/>
      <c r="Q176" s="177"/>
      <c r="R176" s="177"/>
      <c r="S176" s="177"/>
      <c r="T176" s="177"/>
      <c r="U176" s="177"/>
      <c r="V176" s="177"/>
      <c r="W176" s="177"/>
      <c r="X176" s="177"/>
      <c r="Y176" s="177"/>
      <c r="Z176" s="177"/>
      <c r="AA176" s="177"/>
      <c r="AB176" s="177"/>
      <c r="AC176" s="177"/>
      <c r="AD176" s="177"/>
      <c r="AE176" s="177"/>
      <c r="AF176" s="177"/>
      <c r="AG176" s="177"/>
      <c r="AH176" s="177"/>
      <c r="AI176" s="177"/>
      <c r="AJ176" s="177"/>
      <c r="AK176" s="177"/>
      <c r="AL176" s="177"/>
      <c r="AM176" s="177"/>
      <c r="AN176" s="177"/>
    </row>
    <row r="177" spans="1:40" x14ac:dyDescent="0.3">
      <c r="A177" s="177"/>
      <c r="B177" s="177"/>
      <c r="C177" s="177"/>
      <c r="D177" s="177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7"/>
      <c r="P177" s="177"/>
      <c r="Q177" s="177"/>
      <c r="R177" s="177"/>
      <c r="S177" s="177"/>
      <c r="T177" s="177"/>
      <c r="U177" s="177"/>
      <c r="V177" s="177"/>
      <c r="W177" s="177"/>
      <c r="X177" s="177"/>
      <c r="Y177" s="177"/>
      <c r="Z177" s="177"/>
      <c r="AA177" s="177"/>
      <c r="AB177" s="177"/>
      <c r="AC177" s="177"/>
      <c r="AD177" s="177"/>
      <c r="AE177" s="177"/>
      <c r="AF177" s="177"/>
      <c r="AG177" s="177"/>
      <c r="AH177" s="177"/>
      <c r="AI177" s="177"/>
      <c r="AJ177" s="177"/>
      <c r="AK177" s="177"/>
      <c r="AL177" s="177"/>
      <c r="AM177" s="177"/>
      <c r="AN177" s="177"/>
    </row>
    <row r="178" spans="1:40" x14ac:dyDescent="0.3">
      <c r="A178" s="177"/>
      <c r="B178" s="177"/>
      <c r="C178" s="177"/>
      <c r="D178" s="177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7"/>
      <c r="P178" s="177"/>
      <c r="Q178" s="177"/>
      <c r="R178" s="177"/>
      <c r="S178" s="177"/>
      <c r="T178" s="177"/>
      <c r="U178" s="177"/>
      <c r="V178" s="177"/>
      <c r="W178" s="177"/>
      <c r="X178" s="177"/>
      <c r="Y178" s="177"/>
      <c r="Z178" s="177"/>
      <c r="AA178" s="177"/>
      <c r="AB178" s="177"/>
      <c r="AC178" s="177"/>
      <c r="AD178" s="177"/>
      <c r="AE178" s="177"/>
      <c r="AF178" s="177"/>
      <c r="AG178" s="177"/>
      <c r="AH178" s="177"/>
      <c r="AI178" s="177"/>
      <c r="AJ178" s="177"/>
      <c r="AK178" s="177"/>
      <c r="AL178" s="177"/>
      <c r="AM178" s="177"/>
      <c r="AN178" s="177"/>
    </row>
    <row r="179" spans="1:40" x14ac:dyDescent="0.3">
      <c r="A179" s="177"/>
      <c r="B179" s="177"/>
      <c r="C179" s="177"/>
      <c r="D179" s="177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7"/>
      <c r="P179" s="177"/>
      <c r="Q179" s="177"/>
      <c r="R179" s="177"/>
      <c r="S179" s="177"/>
      <c r="T179" s="177"/>
      <c r="U179" s="177"/>
      <c r="V179" s="177"/>
      <c r="W179" s="177"/>
      <c r="X179" s="177"/>
      <c r="Y179" s="177"/>
      <c r="Z179" s="177"/>
      <c r="AA179" s="177"/>
      <c r="AB179" s="177"/>
      <c r="AC179" s="177"/>
      <c r="AD179" s="177"/>
      <c r="AE179" s="177"/>
      <c r="AF179" s="177"/>
      <c r="AG179" s="177"/>
      <c r="AH179" s="177"/>
      <c r="AI179" s="177"/>
      <c r="AJ179" s="177"/>
      <c r="AK179" s="177"/>
      <c r="AL179" s="177"/>
      <c r="AM179" s="177"/>
      <c r="AN179" s="177"/>
    </row>
    <row r="180" spans="1:40" x14ac:dyDescent="0.3">
      <c r="A180" s="177"/>
      <c r="B180" s="177"/>
      <c r="C180" s="177"/>
      <c r="D180" s="177"/>
      <c r="E180" s="177"/>
      <c r="F180" s="177"/>
      <c r="G180" s="177"/>
      <c r="H180" s="177"/>
      <c r="I180" s="177"/>
      <c r="J180" s="177"/>
      <c r="K180" s="177"/>
      <c r="L180" s="177"/>
      <c r="M180" s="177"/>
      <c r="N180" s="177"/>
      <c r="O180" s="177"/>
      <c r="P180" s="177"/>
      <c r="Q180" s="177"/>
      <c r="R180" s="177"/>
      <c r="S180" s="177"/>
      <c r="T180" s="177"/>
      <c r="U180" s="177"/>
      <c r="V180" s="177"/>
      <c r="W180" s="177"/>
      <c r="X180" s="177"/>
      <c r="Y180" s="177"/>
      <c r="Z180" s="177"/>
      <c r="AA180" s="177"/>
      <c r="AB180" s="177"/>
      <c r="AC180" s="177"/>
      <c r="AD180" s="177"/>
      <c r="AE180" s="177"/>
      <c r="AF180" s="177"/>
      <c r="AG180" s="177"/>
      <c r="AH180" s="177"/>
      <c r="AI180" s="177"/>
      <c r="AJ180" s="177"/>
      <c r="AK180" s="177"/>
      <c r="AL180" s="177"/>
      <c r="AM180" s="177"/>
      <c r="AN180" s="177"/>
    </row>
    <row r="181" spans="1:40" x14ac:dyDescent="0.3">
      <c r="A181" s="177"/>
      <c r="B181" s="177"/>
      <c r="C181" s="177"/>
      <c r="D181" s="177"/>
      <c r="E181" s="177"/>
      <c r="F181" s="177"/>
      <c r="G181" s="177"/>
      <c r="H181" s="177"/>
      <c r="I181" s="177"/>
      <c r="J181" s="177"/>
      <c r="K181" s="177"/>
      <c r="L181" s="177"/>
      <c r="M181" s="177"/>
      <c r="N181" s="177"/>
      <c r="O181" s="177"/>
      <c r="P181" s="177"/>
      <c r="Q181" s="177"/>
      <c r="R181" s="177"/>
      <c r="S181" s="177"/>
      <c r="T181" s="177"/>
      <c r="U181" s="177"/>
      <c r="V181" s="177"/>
      <c r="W181" s="177"/>
      <c r="X181" s="177"/>
      <c r="Y181" s="177"/>
      <c r="Z181" s="177"/>
      <c r="AA181" s="177"/>
      <c r="AB181" s="177"/>
      <c r="AC181" s="177"/>
      <c r="AD181" s="177"/>
      <c r="AE181" s="177"/>
      <c r="AF181" s="177"/>
      <c r="AG181" s="177"/>
      <c r="AH181" s="177"/>
      <c r="AI181" s="177"/>
      <c r="AJ181" s="177"/>
      <c r="AK181" s="177"/>
      <c r="AL181" s="177"/>
      <c r="AM181" s="177"/>
      <c r="AN181" s="177"/>
    </row>
    <row r="182" spans="1:40" x14ac:dyDescent="0.3">
      <c r="A182" s="177"/>
      <c r="B182" s="177"/>
      <c r="C182" s="177"/>
      <c r="D182" s="177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7"/>
      <c r="P182" s="177"/>
      <c r="Q182" s="177"/>
      <c r="R182" s="177"/>
      <c r="S182" s="177"/>
      <c r="T182" s="177"/>
      <c r="U182" s="177"/>
      <c r="V182" s="177"/>
      <c r="W182" s="177"/>
      <c r="X182" s="177"/>
      <c r="Y182" s="177"/>
      <c r="Z182" s="177"/>
      <c r="AA182" s="177"/>
      <c r="AB182" s="177"/>
      <c r="AC182" s="177"/>
      <c r="AD182" s="177"/>
      <c r="AE182" s="177"/>
      <c r="AF182" s="177"/>
      <c r="AG182" s="177"/>
      <c r="AH182" s="177"/>
      <c r="AI182" s="177"/>
      <c r="AJ182" s="177"/>
      <c r="AK182" s="177"/>
      <c r="AL182" s="177"/>
      <c r="AM182" s="177"/>
      <c r="AN182" s="177"/>
    </row>
    <row r="183" spans="1:40" x14ac:dyDescent="0.3">
      <c r="A183" s="177"/>
      <c r="B183" s="177"/>
      <c r="C183" s="177"/>
      <c r="D183" s="177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7"/>
      <c r="P183" s="177"/>
      <c r="Q183" s="177"/>
      <c r="R183" s="177"/>
      <c r="S183" s="177"/>
      <c r="T183" s="177"/>
      <c r="U183" s="177"/>
      <c r="V183" s="177"/>
      <c r="W183" s="177"/>
      <c r="X183" s="177"/>
      <c r="Y183" s="177"/>
      <c r="Z183" s="177"/>
      <c r="AA183" s="177"/>
      <c r="AB183" s="177"/>
      <c r="AC183" s="177"/>
      <c r="AD183" s="177"/>
      <c r="AE183" s="177"/>
      <c r="AF183" s="177"/>
      <c r="AG183" s="177"/>
      <c r="AH183" s="177"/>
      <c r="AI183" s="177"/>
      <c r="AJ183" s="177"/>
      <c r="AK183" s="177"/>
      <c r="AL183" s="177"/>
      <c r="AM183" s="177"/>
      <c r="AN183" s="177"/>
    </row>
    <row r="184" spans="1:40" x14ac:dyDescent="0.3">
      <c r="A184" s="177"/>
      <c r="B184" s="177"/>
      <c r="C184" s="177"/>
      <c r="D184" s="177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7"/>
      <c r="P184" s="177"/>
      <c r="Q184" s="177"/>
      <c r="R184" s="177"/>
      <c r="S184" s="177"/>
      <c r="T184" s="177"/>
      <c r="U184" s="177"/>
      <c r="V184" s="177"/>
      <c r="W184" s="177"/>
      <c r="X184" s="177"/>
      <c r="Y184" s="177"/>
      <c r="Z184" s="177"/>
      <c r="AA184" s="177"/>
      <c r="AB184" s="177"/>
      <c r="AC184" s="177"/>
      <c r="AD184" s="177"/>
      <c r="AE184" s="177"/>
      <c r="AF184" s="177"/>
      <c r="AG184" s="177"/>
      <c r="AH184" s="177"/>
      <c r="AI184" s="177"/>
      <c r="AJ184" s="177"/>
      <c r="AK184" s="177"/>
      <c r="AL184" s="177"/>
      <c r="AM184" s="177"/>
      <c r="AN184" s="177"/>
    </row>
    <row r="185" spans="1:40" x14ac:dyDescent="0.3">
      <c r="A185" s="178" t="s">
        <v>165</v>
      </c>
      <c r="B185" s="178"/>
      <c r="C185" s="178"/>
      <c r="D185" s="178"/>
      <c r="E185" s="178"/>
      <c r="F185" s="178"/>
      <c r="G185" s="178"/>
      <c r="H185" s="178"/>
      <c r="I185" s="178"/>
      <c r="J185" s="178"/>
      <c r="K185" s="178"/>
      <c r="L185" s="178"/>
      <c r="M185" s="178"/>
      <c r="N185" s="178"/>
      <c r="O185" s="178"/>
      <c r="P185" s="178"/>
      <c r="Q185" s="178"/>
      <c r="R185" s="178"/>
      <c r="S185" s="178"/>
      <c r="T185" s="178"/>
      <c r="U185" s="178"/>
      <c r="V185" s="178"/>
      <c r="W185" s="178"/>
      <c r="X185" s="178"/>
      <c r="Y185" s="178"/>
      <c r="Z185" s="178"/>
      <c r="AA185" s="178"/>
      <c r="AB185" s="178"/>
      <c r="AC185" s="178"/>
      <c r="AD185" s="178"/>
      <c r="AE185" s="178"/>
      <c r="AF185" s="178"/>
      <c r="AG185" s="178"/>
      <c r="AH185" s="178"/>
      <c r="AI185" s="178"/>
      <c r="AJ185" s="178"/>
      <c r="AK185" s="178"/>
      <c r="AL185" s="178"/>
      <c r="AM185" s="178"/>
      <c r="AN185" s="178"/>
    </row>
    <row r="186" spans="1:40" x14ac:dyDescent="0.3">
      <c r="A186" s="178"/>
      <c r="B186" s="178"/>
      <c r="C186" s="178"/>
      <c r="D186" s="178"/>
      <c r="E186" s="178"/>
      <c r="F186" s="178"/>
      <c r="G186" s="178"/>
      <c r="H186" s="178"/>
      <c r="I186" s="178"/>
      <c r="J186" s="178"/>
      <c r="K186" s="178"/>
      <c r="L186" s="178"/>
      <c r="M186" s="178"/>
      <c r="N186" s="178"/>
      <c r="O186" s="178"/>
      <c r="P186" s="178"/>
      <c r="Q186" s="178"/>
      <c r="R186" s="178"/>
      <c r="S186" s="178"/>
      <c r="T186" s="178"/>
      <c r="U186" s="178"/>
      <c r="V186" s="178"/>
      <c r="W186" s="178"/>
      <c r="X186" s="178"/>
      <c r="Y186" s="178"/>
      <c r="Z186" s="178"/>
      <c r="AA186" s="178"/>
      <c r="AB186" s="178"/>
      <c r="AC186" s="178"/>
      <c r="AD186" s="178"/>
      <c r="AE186" s="178"/>
      <c r="AF186" s="178"/>
      <c r="AG186" s="178"/>
      <c r="AH186" s="178"/>
      <c r="AI186" s="178"/>
      <c r="AJ186" s="178"/>
      <c r="AK186" s="178"/>
      <c r="AL186" s="178"/>
      <c r="AM186" s="178"/>
      <c r="AN186" s="178"/>
    </row>
    <row r="187" spans="1:40" x14ac:dyDescent="0.3">
      <c r="A187" s="178"/>
      <c r="B187" s="178"/>
      <c r="C187" s="178"/>
      <c r="D187" s="178"/>
      <c r="E187" s="178"/>
      <c r="F187" s="178"/>
      <c r="G187" s="178"/>
      <c r="H187" s="178"/>
      <c r="I187" s="178"/>
      <c r="J187" s="178"/>
      <c r="K187" s="178"/>
      <c r="L187" s="178"/>
      <c r="M187" s="178"/>
      <c r="N187" s="178"/>
      <c r="O187" s="178"/>
      <c r="P187" s="178"/>
      <c r="Q187" s="178"/>
      <c r="R187" s="178"/>
      <c r="S187" s="178"/>
      <c r="T187" s="178"/>
      <c r="U187" s="178"/>
      <c r="V187" s="178"/>
      <c r="W187" s="178"/>
      <c r="X187" s="178"/>
      <c r="Y187" s="178"/>
      <c r="Z187" s="178"/>
      <c r="AA187" s="178"/>
      <c r="AB187" s="178"/>
      <c r="AC187" s="178"/>
      <c r="AD187" s="178"/>
      <c r="AE187" s="178"/>
      <c r="AF187" s="178"/>
      <c r="AG187" s="178"/>
      <c r="AH187" s="178"/>
      <c r="AI187" s="178"/>
      <c r="AJ187" s="178"/>
      <c r="AK187" s="178"/>
      <c r="AL187" s="178"/>
      <c r="AM187" s="178"/>
      <c r="AN187" s="178"/>
    </row>
    <row r="188" spans="1:40" x14ac:dyDescent="0.3">
      <c r="A188" s="178"/>
      <c r="B188" s="178"/>
      <c r="C188" s="178"/>
      <c r="D188" s="178"/>
      <c r="E188" s="178"/>
      <c r="F188" s="178"/>
      <c r="G188" s="178"/>
      <c r="H188" s="178"/>
      <c r="I188" s="178"/>
      <c r="J188" s="178"/>
      <c r="K188" s="178"/>
      <c r="L188" s="178"/>
      <c r="M188" s="178"/>
      <c r="N188" s="178"/>
      <c r="O188" s="178"/>
      <c r="P188" s="178"/>
      <c r="Q188" s="178"/>
      <c r="R188" s="178"/>
      <c r="S188" s="178"/>
      <c r="T188" s="178"/>
      <c r="U188" s="178"/>
      <c r="V188" s="178"/>
      <c r="W188" s="178"/>
      <c r="X188" s="178"/>
      <c r="Y188" s="178"/>
      <c r="Z188" s="178"/>
      <c r="AA188" s="178"/>
      <c r="AB188" s="178"/>
      <c r="AC188" s="178"/>
      <c r="AD188" s="178"/>
      <c r="AE188" s="178"/>
      <c r="AF188" s="178"/>
      <c r="AG188" s="178"/>
      <c r="AH188" s="178"/>
      <c r="AI188" s="178"/>
      <c r="AJ188" s="178"/>
      <c r="AK188" s="178"/>
      <c r="AL188" s="178"/>
      <c r="AM188" s="178"/>
      <c r="AN188" s="178"/>
    </row>
    <row r="189" spans="1:40" x14ac:dyDescent="0.3">
      <c r="A189" s="178"/>
      <c r="B189" s="178"/>
      <c r="C189" s="178"/>
      <c r="D189" s="178"/>
      <c r="E189" s="178"/>
      <c r="F189" s="178"/>
      <c r="G189" s="178"/>
      <c r="H189" s="178"/>
      <c r="I189" s="178"/>
      <c r="J189" s="178"/>
      <c r="K189" s="178"/>
      <c r="L189" s="178"/>
      <c r="M189" s="178"/>
      <c r="N189" s="178"/>
      <c r="O189" s="178"/>
      <c r="P189" s="178"/>
      <c r="Q189" s="178"/>
      <c r="R189" s="178"/>
      <c r="S189" s="178"/>
      <c r="T189" s="178"/>
      <c r="U189" s="178"/>
      <c r="V189" s="178"/>
      <c r="W189" s="178"/>
      <c r="X189" s="178"/>
      <c r="Y189" s="178"/>
      <c r="Z189" s="178"/>
      <c r="AA189" s="178"/>
      <c r="AB189" s="178"/>
      <c r="AC189" s="178"/>
      <c r="AD189" s="178"/>
      <c r="AE189" s="178"/>
      <c r="AF189" s="178"/>
      <c r="AG189" s="178"/>
      <c r="AH189" s="178"/>
      <c r="AI189" s="178"/>
      <c r="AJ189" s="178"/>
      <c r="AK189" s="178"/>
      <c r="AL189" s="178"/>
      <c r="AM189" s="178"/>
      <c r="AN189" s="178"/>
    </row>
    <row r="190" spans="1:40" x14ac:dyDescent="0.3">
      <c r="A190" s="178"/>
      <c r="B190" s="178"/>
      <c r="C190" s="178"/>
      <c r="D190" s="178"/>
      <c r="E190" s="178"/>
      <c r="F190" s="178"/>
      <c r="G190" s="178"/>
      <c r="H190" s="178"/>
      <c r="I190" s="178"/>
      <c r="J190" s="178"/>
      <c r="K190" s="178"/>
      <c r="L190" s="178"/>
      <c r="M190" s="178"/>
      <c r="N190" s="178"/>
      <c r="O190" s="178"/>
      <c r="P190" s="178"/>
      <c r="Q190" s="178"/>
      <c r="R190" s="178"/>
      <c r="S190" s="178"/>
      <c r="T190" s="178"/>
      <c r="U190" s="178"/>
      <c r="V190" s="178"/>
      <c r="W190" s="178"/>
      <c r="X190" s="178"/>
      <c r="Y190" s="178"/>
      <c r="Z190" s="178"/>
      <c r="AA190" s="178"/>
      <c r="AB190" s="178"/>
      <c r="AC190" s="178"/>
      <c r="AD190" s="178"/>
      <c r="AE190" s="178"/>
      <c r="AF190" s="178"/>
      <c r="AG190" s="178"/>
      <c r="AH190" s="178"/>
      <c r="AI190" s="178"/>
      <c r="AJ190" s="178"/>
      <c r="AK190" s="178"/>
      <c r="AL190" s="178"/>
      <c r="AM190" s="178"/>
      <c r="AN190" s="178"/>
    </row>
    <row r="191" spans="1:40" x14ac:dyDescent="0.3">
      <c r="A191" s="178"/>
      <c r="B191" s="178"/>
      <c r="C191" s="178"/>
      <c r="D191" s="178"/>
      <c r="E191" s="178"/>
      <c r="F191" s="178"/>
      <c r="G191" s="178"/>
      <c r="H191" s="178"/>
      <c r="I191" s="178"/>
      <c r="J191" s="178"/>
      <c r="K191" s="178"/>
      <c r="L191" s="178"/>
      <c r="M191" s="178"/>
      <c r="N191" s="178"/>
      <c r="O191" s="178"/>
      <c r="P191" s="178"/>
      <c r="Q191" s="178"/>
      <c r="R191" s="178"/>
      <c r="S191" s="178"/>
      <c r="T191" s="178"/>
      <c r="U191" s="178"/>
      <c r="V191" s="178"/>
      <c r="W191" s="178"/>
      <c r="X191" s="178"/>
      <c r="Y191" s="178"/>
      <c r="Z191" s="178"/>
      <c r="AA191" s="178"/>
      <c r="AB191" s="178"/>
      <c r="AC191" s="178"/>
      <c r="AD191" s="178"/>
      <c r="AE191" s="178"/>
      <c r="AF191" s="178"/>
      <c r="AG191" s="178"/>
      <c r="AH191" s="178"/>
      <c r="AI191" s="178"/>
      <c r="AJ191" s="178"/>
      <c r="AK191" s="178"/>
      <c r="AL191" s="178"/>
      <c r="AM191" s="178"/>
      <c r="AN191" s="178"/>
    </row>
    <row r="192" spans="1:40" x14ac:dyDescent="0.3">
      <c r="A192" s="178"/>
      <c r="B192" s="178"/>
      <c r="C192" s="178"/>
      <c r="D192" s="178"/>
      <c r="E192" s="178"/>
      <c r="F192" s="178"/>
      <c r="G192" s="178"/>
      <c r="H192" s="178"/>
      <c r="I192" s="178"/>
      <c r="J192" s="178"/>
      <c r="K192" s="178"/>
      <c r="L192" s="178"/>
      <c r="M192" s="178"/>
      <c r="N192" s="178"/>
      <c r="O192" s="178"/>
      <c r="P192" s="178"/>
      <c r="Q192" s="178"/>
      <c r="R192" s="178"/>
      <c r="S192" s="178"/>
      <c r="T192" s="178"/>
      <c r="U192" s="178"/>
      <c r="V192" s="178"/>
      <c r="W192" s="178"/>
      <c r="X192" s="178"/>
      <c r="Y192" s="178"/>
      <c r="Z192" s="178"/>
      <c r="AA192" s="178"/>
      <c r="AB192" s="178"/>
      <c r="AC192" s="178"/>
      <c r="AD192" s="178"/>
      <c r="AE192" s="178"/>
      <c r="AF192" s="178"/>
      <c r="AG192" s="178"/>
      <c r="AH192" s="178"/>
      <c r="AI192" s="178"/>
      <c r="AJ192" s="178"/>
      <c r="AK192" s="178"/>
      <c r="AL192" s="178"/>
      <c r="AM192" s="178"/>
      <c r="AN192" s="178"/>
    </row>
    <row r="193" spans="1:40" x14ac:dyDescent="0.3">
      <c r="A193" s="178"/>
      <c r="B193" s="178"/>
      <c r="C193" s="178"/>
      <c r="D193" s="178"/>
      <c r="E193" s="178"/>
      <c r="F193" s="178"/>
      <c r="G193" s="178"/>
      <c r="H193" s="178"/>
      <c r="I193" s="178"/>
      <c r="J193" s="178"/>
      <c r="K193" s="178"/>
      <c r="L193" s="178"/>
      <c r="M193" s="178"/>
      <c r="N193" s="178"/>
      <c r="O193" s="178"/>
      <c r="P193" s="178"/>
      <c r="Q193" s="178"/>
      <c r="R193" s="178"/>
      <c r="S193" s="178"/>
      <c r="T193" s="178"/>
      <c r="U193" s="178"/>
      <c r="V193" s="178"/>
      <c r="W193" s="178"/>
      <c r="X193" s="178"/>
      <c r="Y193" s="178"/>
      <c r="Z193" s="178"/>
      <c r="AA193" s="178"/>
      <c r="AB193" s="178"/>
      <c r="AC193" s="178"/>
      <c r="AD193" s="178"/>
      <c r="AE193" s="178"/>
      <c r="AF193" s="178"/>
      <c r="AG193" s="178"/>
      <c r="AH193" s="178"/>
      <c r="AI193" s="178"/>
      <c r="AJ193" s="178"/>
      <c r="AK193" s="178"/>
      <c r="AL193" s="178"/>
      <c r="AM193" s="178"/>
      <c r="AN193" s="178"/>
    </row>
    <row r="194" spans="1:40" x14ac:dyDescent="0.3">
      <c r="A194" s="178"/>
      <c r="B194" s="178"/>
      <c r="C194" s="178"/>
      <c r="D194" s="178"/>
      <c r="E194" s="178"/>
      <c r="F194" s="178"/>
      <c r="G194" s="178"/>
      <c r="H194" s="178"/>
      <c r="I194" s="178"/>
      <c r="J194" s="178"/>
      <c r="K194" s="178"/>
      <c r="L194" s="178"/>
      <c r="M194" s="178"/>
      <c r="N194" s="178"/>
      <c r="O194" s="178"/>
      <c r="P194" s="178"/>
      <c r="Q194" s="178"/>
      <c r="R194" s="178"/>
      <c r="S194" s="178"/>
      <c r="T194" s="178"/>
      <c r="U194" s="178"/>
      <c r="V194" s="178"/>
      <c r="W194" s="178"/>
      <c r="X194" s="178"/>
      <c r="Y194" s="178"/>
      <c r="Z194" s="178"/>
      <c r="AA194" s="178"/>
      <c r="AB194" s="178"/>
      <c r="AC194" s="178"/>
      <c r="AD194" s="178"/>
      <c r="AE194" s="178"/>
      <c r="AF194" s="178"/>
      <c r="AG194" s="178"/>
      <c r="AH194" s="178"/>
      <c r="AI194" s="178"/>
      <c r="AJ194" s="178"/>
      <c r="AK194" s="178"/>
      <c r="AL194" s="178"/>
      <c r="AM194" s="178"/>
      <c r="AN194" s="178"/>
    </row>
    <row r="195" spans="1:40" x14ac:dyDescent="0.3">
      <c r="A195" s="178"/>
      <c r="B195" s="178"/>
      <c r="C195" s="178"/>
      <c r="D195" s="178"/>
      <c r="E195" s="178"/>
      <c r="F195" s="178"/>
      <c r="G195" s="178"/>
      <c r="H195" s="178"/>
      <c r="I195" s="178"/>
      <c r="J195" s="178"/>
      <c r="K195" s="178"/>
      <c r="L195" s="178"/>
      <c r="M195" s="178"/>
      <c r="N195" s="178"/>
      <c r="O195" s="178"/>
      <c r="P195" s="178"/>
      <c r="Q195" s="178"/>
      <c r="R195" s="178"/>
      <c r="S195" s="178"/>
      <c r="T195" s="178"/>
      <c r="U195" s="178"/>
      <c r="V195" s="178"/>
      <c r="W195" s="178"/>
      <c r="X195" s="178"/>
      <c r="Y195" s="178"/>
      <c r="Z195" s="178"/>
      <c r="AA195" s="178"/>
      <c r="AB195" s="178"/>
      <c r="AC195" s="178"/>
      <c r="AD195" s="178"/>
      <c r="AE195" s="178"/>
      <c r="AF195" s="178"/>
      <c r="AG195" s="178"/>
      <c r="AH195" s="178"/>
      <c r="AI195" s="178"/>
      <c r="AJ195" s="178"/>
      <c r="AK195" s="178"/>
      <c r="AL195" s="178"/>
      <c r="AM195" s="178"/>
      <c r="AN195" s="178"/>
    </row>
    <row r="196" spans="1:40" x14ac:dyDescent="0.3">
      <c r="A196" s="178"/>
      <c r="B196" s="178"/>
      <c r="C196" s="178"/>
      <c r="D196" s="178"/>
      <c r="E196" s="178"/>
      <c r="F196" s="178"/>
      <c r="G196" s="178"/>
      <c r="H196" s="178"/>
      <c r="I196" s="178"/>
      <c r="J196" s="178"/>
      <c r="K196" s="178"/>
      <c r="L196" s="178"/>
      <c r="M196" s="178"/>
      <c r="N196" s="178"/>
      <c r="O196" s="178"/>
      <c r="P196" s="178"/>
      <c r="Q196" s="178"/>
      <c r="R196" s="178"/>
      <c r="S196" s="178"/>
      <c r="T196" s="178"/>
      <c r="U196" s="178"/>
      <c r="V196" s="178"/>
      <c r="W196" s="178"/>
      <c r="X196" s="178"/>
      <c r="Y196" s="178"/>
      <c r="Z196" s="178"/>
      <c r="AA196" s="178"/>
      <c r="AB196" s="178"/>
      <c r="AC196" s="178"/>
      <c r="AD196" s="178"/>
      <c r="AE196" s="178"/>
      <c r="AF196" s="178"/>
      <c r="AG196" s="178"/>
      <c r="AH196" s="178"/>
      <c r="AI196" s="178"/>
      <c r="AJ196" s="178"/>
      <c r="AK196" s="178"/>
      <c r="AL196" s="178"/>
      <c r="AM196" s="178"/>
      <c r="AN196" s="178"/>
    </row>
    <row r="197" spans="1:40" x14ac:dyDescent="0.3">
      <c r="A197" s="178"/>
      <c r="B197" s="178"/>
      <c r="C197" s="178"/>
      <c r="D197" s="178"/>
      <c r="E197" s="178"/>
      <c r="F197" s="178"/>
      <c r="G197" s="178"/>
      <c r="H197" s="178"/>
      <c r="I197" s="178"/>
      <c r="J197" s="178"/>
      <c r="K197" s="178"/>
      <c r="L197" s="178"/>
      <c r="M197" s="178"/>
      <c r="N197" s="178"/>
      <c r="O197" s="178"/>
      <c r="P197" s="178"/>
      <c r="Q197" s="178"/>
      <c r="R197" s="178"/>
      <c r="S197" s="178"/>
      <c r="T197" s="178"/>
      <c r="U197" s="178"/>
      <c r="V197" s="178"/>
      <c r="W197" s="178"/>
      <c r="X197" s="178"/>
      <c r="Y197" s="178"/>
      <c r="Z197" s="178"/>
      <c r="AA197" s="178"/>
      <c r="AB197" s="178"/>
      <c r="AC197" s="178"/>
      <c r="AD197" s="178"/>
      <c r="AE197" s="178"/>
      <c r="AF197" s="178"/>
      <c r="AG197" s="178"/>
      <c r="AH197" s="178"/>
      <c r="AI197" s="178"/>
      <c r="AJ197" s="178"/>
      <c r="AK197" s="178"/>
      <c r="AL197" s="178"/>
      <c r="AM197" s="178"/>
      <c r="AN197" s="178"/>
    </row>
    <row r="198" spans="1:40" x14ac:dyDescent="0.3">
      <c r="A198" s="178"/>
      <c r="B198" s="178"/>
      <c r="C198" s="178"/>
      <c r="D198" s="178"/>
      <c r="E198" s="178"/>
      <c r="F198" s="178"/>
      <c r="G198" s="178"/>
      <c r="H198" s="178"/>
      <c r="I198" s="178"/>
      <c r="J198" s="178"/>
      <c r="K198" s="178"/>
      <c r="L198" s="178"/>
      <c r="M198" s="178"/>
      <c r="N198" s="178"/>
      <c r="O198" s="178"/>
      <c r="P198" s="178"/>
      <c r="Q198" s="178"/>
      <c r="R198" s="178"/>
      <c r="S198" s="178"/>
      <c r="T198" s="178"/>
      <c r="U198" s="178"/>
      <c r="V198" s="178"/>
      <c r="W198" s="178"/>
      <c r="X198" s="178"/>
      <c r="Y198" s="178"/>
      <c r="Z198" s="178"/>
      <c r="AA198" s="178"/>
      <c r="AB198" s="178"/>
      <c r="AC198" s="178"/>
      <c r="AD198" s="178"/>
      <c r="AE198" s="178"/>
      <c r="AF198" s="178"/>
      <c r="AG198" s="178"/>
      <c r="AH198" s="178"/>
      <c r="AI198" s="178"/>
      <c r="AJ198" s="178"/>
      <c r="AK198" s="178"/>
      <c r="AL198" s="178"/>
      <c r="AM198" s="178"/>
      <c r="AN198" s="178"/>
    </row>
    <row r="199" spans="1:40" x14ac:dyDescent="0.3">
      <c r="A199" s="178"/>
      <c r="B199" s="178"/>
      <c r="C199" s="178"/>
      <c r="D199" s="178"/>
      <c r="E199" s="178"/>
      <c r="F199" s="178"/>
      <c r="G199" s="178"/>
      <c r="H199" s="178"/>
      <c r="I199" s="178"/>
      <c r="J199" s="178"/>
      <c r="K199" s="178"/>
      <c r="L199" s="178"/>
      <c r="M199" s="178"/>
      <c r="N199" s="178"/>
      <c r="O199" s="178"/>
      <c r="P199" s="178"/>
      <c r="Q199" s="178"/>
      <c r="R199" s="178"/>
      <c r="S199" s="178"/>
      <c r="T199" s="178"/>
      <c r="U199" s="178"/>
      <c r="V199" s="178"/>
      <c r="W199" s="178"/>
      <c r="X199" s="178"/>
      <c r="Y199" s="178"/>
      <c r="Z199" s="178"/>
      <c r="AA199" s="178"/>
      <c r="AB199" s="178"/>
      <c r="AC199" s="178"/>
      <c r="AD199" s="178"/>
      <c r="AE199" s="178"/>
      <c r="AF199" s="178"/>
      <c r="AG199" s="178"/>
      <c r="AH199" s="178"/>
      <c r="AI199" s="178"/>
      <c r="AJ199" s="178"/>
      <c r="AK199" s="178"/>
      <c r="AL199" s="178"/>
      <c r="AM199" s="178"/>
      <c r="AN199" s="178"/>
    </row>
    <row r="200" spans="1:40" x14ac:dyDescent="0.3">
      <c r="A200" s="178"/>
      <c r="B200" s="178"/>
      <c r="C200" s="178"/>
      <c r="D200" s="178"/>
      <c r="E200" s="178"/>
      <c r="F200" s="178"/>
      <c r="G200" s="178"/>
      <c r="H200" s="178"/>
      <c r="I200" s="178"/>
      <c r="J200" s="178"/>
      <c r="K200" s="178"/>
      <c r="L200" s="178"/>
      <c r="M200" s="178"/>
      <c r="N200" s="178"/>
      <c r="O200" s="178"/>
      <c r="P200" s="178"/>
      <c r="Q200" s="178"/>
      <c r="R200" s="178"/>
      <c r="S200" s="178"/>
      <c r="T200" s="178"/>
      <c r="U200" s="178"/>
      <c r="V200" s="178"/>
      <c r="W200" s="178"/>
      <c r="X200" s="178"/>
      <c r="Y200" s="178"/>
      <c r="Z200" s="178"/>
      <c r="AA200" s="178"/>
      <c r="AB200" s="178"/>
      <c r="AC200" s="178"/>
      <c r="AD200" s="178"/>
      <c r="AE200" s="178"/>
      <c r="AF200" s="178"/>
      <c r="AG200" s="178"/>
      <c r="AH200" s="178"/>
      <c r="AI200" s="178"/>
      <c r="AJ200" s="178"/>
      <c r="AK200" s="178"/>
      <c r="AL200" s="178"/>
      <c r="AM200" s="178"/>
      <c r="AN200" s="178"/>
    </row>
    <row r="201" spans="1:40" x14ac:dyDescent="0.3">
      <c r="A201" s="178"/>
      <c r="B201" s="178"/>
      <c r="C201" s="178"/>
      <c r="D201" s="178"/>
      <c r="E201" s="178"/>
      <c r="F201" s="178"/>
      <c r="G201" s="178"/>
      <c r="H201" s="178"/>
      <c r="I201" s="178"/>
      <c r="J201" s="178"/>
      <c r="K201" s="178"/>
      <c r="L201" s="178"/>
      <c r="M201" s="178"/>
      <c r="N201" s="178"/>
      <c r="O201" s="178"/>
      <c r="P201" s="178"/>
      <c r="Q201" s="178"/>
      <c r="R201" s="178"/>
      <c r="S201" s="178"/>
      <c r="T201" s="178"/>
      <c r="U201" s="178"/>
      <c r="V201" s="178"/>
      <c r="W201" s="178"/>
      <c r="X201" s="178"/>
      <c r="Y201" s="178"/>
      <c r="Z201" s="178"/>
      <c r="AA201" s="178"/>
      <c r="AB201" s="178"/>
      <c r="AC201" s="178"/>
      <c r="AD201" s="178"/>
      <c r="AE201" s="178"/>
      <c r="AF201" s="178"/>
      <c r="AG201" s="178"/>
      <c r="AH201" s="178"/>
      <c r="AI201" s="178"/>
      <c r="AJ201" s="178"/>
      <c r="AK201" s="178"/>
      <c r="AL201" s="178"/>
      <c r="AM201" s="178"/>
      <c r="AN201" s="178"/>
    </row>
    <row r="202" spans="1:40" x14ac:dyDescent="0.3">
      <c r="A202" s="178"/>
      <c r="B202" s="178"/>
      <c r="C202" s="178"/>
      <c r="D202" s="178"/>
      <c r="E202" s="178"/>
      <c r="F202" s="178"/>
      <c r="G202" s="178"/>
      <c r="H202" s="178"/>
      <c r="I202" s="178"/>
      <c r="J202" s="178"/>
      <c r="K202" s="178"/>
      <c r="L202" s="178"/>
      <c r="M202" s="178"/>
      <c r="N202" s="178"/>
      <c r="O202" s="178"/>
      <c r="P202" s="178"/>
      <c r="Q202" s="178"/>
      <c r="R202" s="178"/>
      <c r="S202" s="178"/>
      <c r="T202" s="178"/>
      <c r="U202" s="178"/>
      <c r="V202" s="178"/>
      <c r="W202" s="178"/>
      <c r="X202" s="178"/>
      <c r="Y202" s="178"/>
      <c r="Z202" s="178"/>
      <c r="AA202" s="178"/>
      <c r="AB202" s="178"/>
      <c r="AC202" s="178"/>
      <c r="AD202" s="178"/>
      <c r="AE202" s="178"/>
      <c r="AF202" s="178"/>
      <c r="AG202" s="178"/>
      <c r="AH202" s="178"/>
      <c r="AI202" s="178"/>
      <c r="AJ202" s="178"/>
      <c r="AK202" s="178"/>
      <c r="AL202" s="178"/>
      <c r="AM202" s="178"/>
      <c r="AN202" s="178"/>
    </row>
    <row r="203" spans="1:40" x14ac:dyDescent="0.3">
      <c r="A203" s="178"/>
      <c r="B203" s="178"/>
      <c r="C203" s="178"/>
      <c r="D203" s="178"/>
      <c r="E203" s="178"/>
      <c r="F203" s="178"/>
      <c r="G203" s="178"/>
      <c r="H203" s="178"/>
      <c r="I203" s="178"/>
      <c r="J203" s="178"/>
      <c r="K203" s="178"/>
      <c r="L203" s="178"/>
      <c r="M203" s="178"/>
      <c r="N203" s="178"/>
      <c r="O203" s="178"/>
      <c r="P203" s="178"/>
      <c r="Q203" s="178"/>
      <c r="R203" s="178"/>
      <c r="S203" s="178"/>
      <c r="T203" s="178"/>
      <c r="U203" s="178"/>
      <c r="V203" s="178"/>
      <c r="W203" s="178"/>
      <c r="X203" s="178"/>
      <c r="Y203" s="178"/>
      <c r="Z203" s="178"/>
      <c r="AA203" s="178"/>
      <c r="AB203" s="178"/>
      <c r="AC203" s="178"/>
      <c r="AD203" s="178"/>
      <c r="AE203" s="178"/>
      <c r="AF203" s="178"/>
      <c r="AG203" s="178"/>
      <c r="AH203" s="178"/>
      <c r="AI203" s="178"/>
      <c r="AJ203" s="178"/>
      <c r="AK203" s="178"/>
      <c r="AL203" s="178"/>
      <c r="AM203" s="178"/>
      <c r="AN203" s="178"/>
    </row>
    <row r="204" spans="1:40" x14ac:dyDescent="0.3">
      <c r="A204" s="178"/>
      <c r="B204" s="178"/>
      <c r="C204" s="178"/>
      <c r="D204" s="178"/>
      <c r="E204" s="178"/>
      <c r="F204" s="178"/>
      <c r="G204" s="178"/>
      <c r="H204" s="178"/>
      <c r="I204" s="178"/>
      <c r="J204" s="178"/>
      <c r="K204" s="178"/>
      <c r="L204" s="178"/>
      <c r="M204" s="178"/>
      <c r="N204" s="178"/>
      <c r="O204" s="178"/>
      <c r="P204" s="178"/>
      <c r="Q204" s="178"/>
      <c r="R204" s="178"/>
      <c r="S204" s="178"/>
      <c r="T204" s="178"/>
      <c r="U204" s="178"/>
      <c r="V204" s="178"/>
      <c r="W204" s="178"/>
      <c r="X204" s="178"/>
      <c r="Y204" s="178"/>
      <c r="Z204" s="178"/>
      <c r="AA204" s="178"/>
      <c r="AB204" s="178"/>
      <c r="AC204" s="178"/>
      <c r="AD204" s="178"/>
      <c r="AE204" s="178"/>
      <c r="AF204" s="178"/>
      <c r="AG204" s="178"/>
      <c r="AH204" s="178"/>
      <c r="AI204" s="178"/>
      <c r="AJ204" s="178"/>
      <c r="AK204" s="178"/>
      <c r="AL204" s="178"/>
      <c r="AM204" s="178"/>
      <c r="AN204" s="178"/>
    </row>
    <row r="205" spans="1:40" x14ac:dyDescent="0.3">
      <c r="A205" s="178"/>
      <c r="B205" s="178"/>
      <c r="C205" s="178"/>
      <c r="D205" s="178"/>
      <c r="E205" s="178"/>
      <c r="F205" s="178"/>
      <c r="G205" s="178"/>
      <c r="H205" s="178"/>
      <c r="I205" s="178"/>
      <c r="J205" s="178"/>
      <c r="K205" s="178"/>
      <c r="L205" s="178"/>
      <c r="M205" s="178"/>
      <c r="N205" s="178"/>
      <c r="O205" s="178"/>
      <c r="P205" s="178"/>
      <c r="Q205" s="178"/>
      <c r="R205" s="178"/>
      <c r="S205" s="178"/>
      <c r="T205" s="178"/>
      <c r="U205" s="178"/>
      <c r="V205" s="178"/>
      <c r="W205" s="178"/>
      <c r="X205" s="178"/>
      <c r="Y205" s="178"/>
      <c r="Z205" s="178"/>
      <c r="AA205" s="178"/>
      <c r="AB205" s="178"/>
      <c r="AC205" s="178"/>
      <c r="AD205" s="178"/>
      <c r="AE205" s="178"/>
      <c r="AF205" s="178"/>
      <c r="AG205" s="178"/>
      <c r="AH205" s="178"/>
      <c r="AI205" s="178"/>
      <c r="AJ205" s="178"/>
      <c r="AK205" s="178"/>
      <c r="AL205" s="178"/>
      <c r="AM205" s="178"/>
      <c r="AN205" s="178"/>
    </row>
    <row r="206" spans="1:40" x14ac:dyDescent="0.3">
      <c r="A206" s="178"/>
      <c r="B206" s="178"/>
      <c r="C206" s="178"/>
      <c r="D206" s="178"/>
      <c r="E206" s="178"/>
      <c r="F206" s="178"/>
      <c r="G206" s="178"/>
      <c r="H206" s="178"/>
      <c r="I206" s="178"/>
      <c r="J206" s="178"/>
      <c r="K206" s="178"/>
      <c r="L206" s="178"/>
      <c r="M206" s="178"/>
      <c r="N206" s="178"/>
      <c r="O206" s="178"/>
      <c r="P206" s="178"/>
      <c r="Q206" s="178"/>
      <c r="R206" s="178"/>
      <c r="S206" s="178"/>
      <c r="T206" s="178"/>
      <c r="U206" s="178"/>
      <c r="V206" s="178"/>
      <c r="W206" s="178"/>
      <c r="X206" s="178"/>
      <c r="Y206" s="178"/>
      <c r="Z206" s="178"/>
      <c r="AA206" s="178"/>
      <c r="AB206" s="178"/>
      <c r="AC206" s="178"/>
      <c r="AD206" s="178"/>
      <c r="AE206" s="178"/>
      <c r="AF206" s="178"/>
      <c r="AG206" s="178"/>
      <c r="AH206" s="178"/>
      <c r="AI206" s="178"/>
      <c r="AJ206" s="178"/>
      <c r="AK206" s="178"/>
      <c r="AL206" s="178"/>
      <c r="AM206" s="178"/>
      <c r="AN206" s="178"/>
    </row>
    <row r="207" spans="1:40" x14ac:dyDescent="0.3">
      <c r="A207" s="178"/>
      <c r="B207" s="178"/>
      <c r="C207" s="178"/>
      <c r="D207" s="178"/>
      <c r="E207" s="178"/>
      <c r="F207" s="178"/>
      <c r="G207" s="178"/>
      <c r="H207" s="178"/>
      <c r="I207" s="178"/>
      <c r="J207" s="178"/>
      <c r="K207" s="178"/>
      <c r="L207" s="178"/>
      <c r="M207" s="178"/>
      <c r="N207" s="178"/>
      <c r="O207" s="178"/>
      <c r="P207" s="178"/>
      <c r="Q207" s="178"/>
      <c r="R207" s="178"/>
      <c r="S207" s="178"/>
      <c r="T207" s="178"/>
      <c r="U207" s="178"/>
      <c r="V207" s="178"/>
      <c r="W207" s="178"/>
      <c r="X207" s="178"/>
      <c r="Y207" s="178"/>
      <c r="Z207" s="178"/>
      <c r="AA207" s="178"/>
      <c r="AB207" s="178"/>
      <c r="AC207" s="178"/>
      <c r="AD207" s="178"/>
      <c r="AE207" s="178"/>
      <c r="AF207" s="178"/>
      <c r="AG207" s="178"/>
      <c r="AH207" s="178"/>
      <c r="AI207" s="178"/>
      <c r="AJ207" s="178"/>
      <c r="AK207" s="178"/>
      <c r="AL207" s="178"/>
      <c r="AM207" s="178"/>
      <c r="AN207" s="178"/>
    </row>
    <row r="208" spans="1:40" x14ac:dyDescent="0.3">
      <c r="A208" s="178"/>
      <c r="B208" s="178"/>
      <c r="C208" s="178"/>
      <c r="D208" s="178"/>
      <c r="E208" s="178"/>
      <c r="F208" s="178"/>
      <c r="G208" s="178"/>
      <c r="H208" s="178"/>
      <c r="I208" s="178"/>
      <c r="J208" s="178"/>
      <c r="K208" s="178"/>
      <c r="L208" s="178"/>
      <c r="M208" s="178"/>
      <c r="N208" s="178"/>
      <c r="O208" s="178"/>
      <c r="P208" s="178"/>
      <c r="Q208" s="178"/>
      <c r="R208" s="178"/>
      <c r="S208" s="178"/>
      <c r="T208" s="178"/>
      <c r="U208" s="178"/>
      <c r="V208" s="178"/>
      <c r="W208" s="178"/>
      <c r="X208" s="178"/>
      <c r="Y208" s="178"/>
      <c r="Z208" s="178"/>
      <c r="AA208" s="178"/>
      <c r="AB208" s="178"/>
      <c r="AC208" s="178"/>
      <c r="AD208" s="178"/>
      <c r="AE208" s="178"/>
      <c r="AF208" s="178"/>
      <c r="AG208" s="178"/>
      <c r="AH208" s="178"/>
      <c r="AI208" s="178"/>
      <c r="AJ208" s="178"/>
      <c r="AK208" s="178"/>
      <c r="AL208" s="178"/>
      <c r="AM208" s="178"/>
      <c r="AN208" s="178"/>
    </row>
    <row r="209" spans="1:40" x14ac:dyDescent="0.3">
      <c r="A209" s="178"/>
      <c r="B209" s="178"/>
      <c r="C209" s="178"/>
      <c r="D209" s="178"/>
      <c r="E209" s="178"/>
      <c r="F209" s="178"/>
      <c r="G209" s="178"/>
      <c r="H209" s="178"/>
      <c r="I209" s="178"/>
      <c r="J209" s="178"/>
      <c r="K209" s="178"/>
      <c r="L209" s="178"/>
      <c r="M209" s="178"/>
      <c r="N209" s="178"/>
      <c r="O209" s="178"/>
      <c r="P209" s="178"/>
      <c r="Q209" s="178"/>
      <c r="R209" s="178"/>
      <c r="S209" s="178"/>
      <c r="T209" s="178"/>
      <c r="U209" s="178"/>
      <c r="V209" s="178"/>
      <c r="W209" s="178"/>
      <c r="X209" s="178"/>
      <c r="Y209" s="178"/>
      <c r="Z209" s="178"/>
      <c r="AA209" s="178"/>
      <c r="AB209" s="178"/>
      <c r="AC209" s="178"/>
      <c r="AD209" s="178"/>
      <c r="AE209" s="178"/>
      <c r="AF209" s="178"/>
      <c r="AG209" s="178"/>
      <c r="AH209" s="178"/>
      <c r="AI209" s="178"/>
      <c r="AJ209" s="178"/>
      <c r="AK209" s="178"/>
      <c r="AL209" s="178"/>
      <c r="AM209" s="178"/>
      <c r="AN209" s="178"/>
    </row>
    <row r="210" spans="1:40" x14ac:dyDescent="0.3">
      <c r="A210" s="178"/>
      <c r="B210" s="178"/>
      <c r="C210" s="178"/>
      <c r="D210" s="178"/>
      <c r="E210" s="178"/>
      <c r="F210" s="178"/>
      <c r="G210" s="178"/>
      <c r="H210" s="178"/>
      <c r="I210" s="178"/>
      <c r="J210" s="178"/>
      <c r="K210" s="178"/>
      <c r="L210" s="178"/>
      <c r="M210" s="178"/>
      <c r="N210" s="178"/>
      <c r="O210" s="178"/>
      <c r="P210" s="178"/>
      <c r="Q210" s="178"/>
      <c r="R210" s="178"/>
      <c r="S210" s="178"/>
      <c r="T210" s="178"/>
      <c r="U210" s="178"/>
      <c r="V210" s="178"/>
      <c r="W210" s="178"/>
      <c r="X210" s="178"/>
      <c r="Y210" s="178"/>
      <c r="Z210" s="178"/>
      <c r="AA210" s="178"/>
      <c r="AB210" s="178"/>
      <c r="AC210" s="178"/>
      <c r="AD210" s="178"/>
      <c r="AE210" s="178"/>
      <c r="AF210" s="178"/>
      <c r="AG210" s="178"/>
      <c r="AH210" s="178"/>
      <c r="AI210" s="178"/>
      <c r="AJ210" s="178"/>
      <c r="AK210" s="178"/>
      <c r="AL210" s="178"/>
      <c r="AM210" s="178"/>
      <c r="AN210" s="178"/>
    </row>
    <row r="211" spans="1:40" x14ac:dyDescent="0.3">
      <c r="A211" s="178"/>
      <c r="B211" s="178"/>
      <c r="C211" s="178"/>
      <c r="D211" s="178"/>
      <c r="E211" s="178"/>
      <c r="F211" s="178"/>
      <c r="G211" s="178"/>
      <c r="H211" s="178"/>
      <c r="I211" s="178"/>
      <c r="J211" s="178"/>
      <c r="K211" s="178"/>
      <c r="L211" s="178"/>
      <c r="M211" s="178"/>
      <c r="N211" s="178"/>
      <c r="O211" s="178"/>
      <c r="P211" s="178"/>
      <c r="Q211" s="178"/>
      <c r="R211" s="178"/>
      <c r="S211" s="178"/>
      <c r="T211" s="178"/>
      <c r="U211" s="178"/>
      <c r="V211" s="178"/>
      <c r="W211" s="178"/>
      <c r="X211" s="178"/>
      <c r="Y211" s="178"/>
      <c r="Z211" s="178"/>
      <c r="AA211" s="178"/>
      <c r="AB211" s="178"/>
      <c r="AC211" s="178"/>
      <c r="AD211" s="178"/>
      <c r="AE211" s="178"/>
      <c r="AF211" s="178"/>
      <c r="AG211" s="178"/>
      <c r="AH211" s="178"/>
      <c r="AI211" s="178"/>
      <c r="AJ211" s="178"/>
      <c r="AK211" s="178"/>
      <c r="AL211" s="178"/>
      <c r="AM211" s="178"/>
      <c r="AN211" s="178"/>
    </row>
    <row r="212" spans="1:40" x14ac:dyDescent="0.3">
      <c r="A212" s="178"/>
      <c r="B212" s="178"/>
      <c r="C212" s="178"/>
      <c r="D212" s="178"/>
      <c r="E212" s="178"/>
      <c r="F212" s="178"/>
      <c r="G212" s="178"/>
      <c r="H212" s="178"/>
      <c r="I212" s="178"/>
      <c r="J212" s="178"/>
      <c r="K212" s="178"/>
      <c r="L212" s="178"/>
      <c r="M212" s="178"/>
      <c r="N212" s="178"/>
      <c r="O212" s="178"/>
      <c r="P212" s="178"/>
      <c r="Q212" s="178"/>
      <c r="R212" s="178"/>
      <c r="S212" s="178"/>
      <c r="T212" s="178"/>
      <c r="U212" s="178"/>
      <c r="V212" s="178"/>
      <c r="W212" s="178"/>
      <c r="X212" s="178"/>
      <c r="Y212" s="178"/>
      <c r="Z212" s="178"/>
      <c r="AA212" s="178"/>
      <c r="AB212" s="178"/>
      <c r="AC212" s="178"/>
      <c r="AD212" s="178"/>
      <c r="AE212" s="178"/>
      <c r="AF212" s="178"/>
      <c r="AG212" s="178"/>
      <c r="AH212" s="178"/>
      <c r="AI212" s="178"/>
      <c r="AJ212" s="178"/>
      <c r="AK212" s="178"/>
      <c r="AL212" s="178"/>
      <c r="AM212" s="178"/>
      <c r="AN212" s="178"/>
    </row>
    <row r="213" spans="1:40" x14ac:dyDescent="0.3">
      <c r="A213" s="178"/>
      <c r="B213" s="178"/>
      <c r="C213" s="178"/>
      <c r="D213" s="178"/>
      <c r="E213" s="178"/>
      <c r="F213" s="178"/>
      <c r="G213" s="178"/>
      <c r="H213" s="178"/>
      <c r="I213" s="178"/>
      <c r="J213" s="178"/>
      <c r="K213" s="178"/>
      <c r="L213" s="178"/>
      <c r="M213" s="178"/>
      <c r="N213" s="178"/>
      <c r="O213" s="178"/>
      <c r="P213" s="178"/>
      <c r="Q213" s="178"/>
      <c r="R213" s="178"/>
      <c r="S213" s="178"/>
      <c r="T213" s="178"/>
      <c r="U213" s="178"/>
      <c r="V213" s="178"/>
      <c r="W213" s="178"/>
      <c r="X213" s="178"/>
      <c r="Y213" s="178"/>
      <c r="Z213" s="178"/>
      <c r="AA213" s="178"/>
      <c r="AB213" s="178"/>
      <c r="AC213" s="178"/>
      <c r="AD213" s="178"/>
      <c r="AE213" s="178"/>
      <c r="AF213" s="178"/>
      <c r="AG213" s="178"/>
      <c r="AH213" s="178"/>
      <c r="AI213" s="178"/>
      <c r="AJ213" s="178"/>
      <c r="AK213" s="178"/>
      <c r="AL213" s="178"/>
      <c r="AM213" s="178"/>
      <c r="AN213" s="178"/>
    </row>
    <row r="214" spans="1:40" x14ac:dyDescent="0.3">
      <c r="A214" s="178"/>
      <c r="B214" s="178"/>
      <c r="C214" s="178"/>
      <c r="D214" s="178"/>
      <c r="E214" s="178"/>
      <c r="F214" s="178"/>
      <c r="G214" s="178"/>
      <c r="H214" s="178"/>
      <c r="I214" s="178"/>
      <c r="J214" s="178"/>
      <c r="K214" s="178"/>
      <c r="L214" s="178"/>
      <c r="M214" s="178"/>
      <c r="N214" s="178"/>
      <c r="O214" s="178"/>
      <c r="P214" s="178"/>
      <c r="Q214" s="178"/>
      <c r="R214" s="178"/>
      <c r="S214" s="178"/>
      <c r="T214" s="178"/>
      <c r="U214" s="178"/>
      <c r="V214" s="178"/>
      <c r="W214" s="178"/>
      <c r="X214" s="178"/>
      <c r="Y214" s="178"/>
      <c r="Z214" s="178"/>
      <c r="AA214" s="178"/>
      <c r="AB214" s="178"/>
      <c r="AC214" s="178"/>
      <c r="AD214" s="178"/>
      <c r="AE214" s="178"/>
      <c r="AF214" s="178"/>
      <c r="AG214" s="178"/>
      <c r="AH214" s="178"/>
      <c r="AI214" s="178"/>
      <c r="AJ214" s="178"/>
      <c r="AK214" s="178"/>
      <c r="AL214" s="178"/>
      <c r="AM214" s="178"/>
      <c r="AN214" s="178"/>
    </row>
    <row r="215" spans="1:40" x14ac:dyDescent="0.3">
      <c r="A215" s="178"/>
      <c r="B215" s="178"/>
      <c r="C215" s="178"/>
      <c r="D215" s="178"/>
      <c r="E215" s="178"/>
      <c r="F215" s="178"/>
      <c r="G215" s="178"/>
      <c r="H215" s="178"/>
      <c r="I215" s="178"/>
      <c r="J215" s="178"/>
      <c r="K215" s="178"/>
      <c r="L215" s="178"/>
      <c r="M215" s="178"/>
      <c r="N215" s="178"/>
      <c r="O215" s="178"/>
      <c r="P215" s="178"/>
      <c r="Q215" s="178"/>
      <c r="R215" s="178"/>
      <c r="S215" s="178"/>
      <c r="T215" s="178"/>
      <c r="U215" s="178"/>
      <c r="V215" s="178"/>
      <c r="W215" s="178"/>
      <c r="X215" s="178"/>
      <c r="Y215" s="178"/>
      <c r="Z215" s="178"/>
      <c r="AA215" s="178"/>
      <c r="AB215" s="178"/>
      <c r="AC215" s="178"/>
      <c r="AD215" s="178"/>
      <c r="AE215" s="178"/>
      <c r="AF215" s="178"/>
      <c r="AG215" s="178"/>
      <c r="AH215" s="178"/>
      <c r="AI215" s="178"/>
      <c r="AJ215" s="178"/>
      <c r="AK215" s="178"/>
      <c r="AL215" s="178"/>
      <c r="AM215" s="178"/>
      <c r="AN215" s="178"/>
    </row>
    <row r="216" spans="1:40" x14ac:dyDescent="0.3">
      <c r="A216" s="178"/>
      <c r="B216" s="178"/>
      <c r="C216" s="178"/>
      <c r="D216" s="178"/>
      <c r="E216" s="178"/>
      <c r="F216" s="178"/>
      <c r="G216" s="178"/>
      <c r="H216" s="178"/>
      <c r="I216" s="178"/>
      <c r="J216" s="178"/>
      <c r="K216" s="178"/>
      <c r="L216" s="178"/>
      <c r="M216" s="178"/>
      <c r="N216" s="178"/>
      <c r="O216" s="178"/>
      <c r="P216" s="178"/>
      <c r="Q216" s="178"/>
      <c r="R216" s="178"/>
      <c r="S216" s="178"/>
      <c r="T216" s="178"/>
      <c r="U216" s="178"/>
      <c r="V216" s="178"/>
      <c r="W216" s="178"/>
      <c r="X216" s="178"/>
      <c r="Y216" s="178"/>
      <c r="Z216" s="178"/>
      <c r="AA216" s="178"/>
      <c r="AB216" s="178"/>
      <c r="AC216" s="178"/>
      <c r="AD216" s="178"/>
      <c r="AE216" s="178"/>
      <c r="AF216" s="178"/>
      <c r="AG216" s="178"/>
      <c r="AH216" s="178"/>
      <c r="AI216" s="178"/>
      <c r="AJ216" s="178"/>
      <c r="AK216" s="178"/>
      <c r="AL216" s="178"/>
      <c r="AM216" s="178"/>
      <c r="AN216" s="178"/>
    </row>
    <row r="217" spans="1:40" x14ac:dyDescent="0.3">
      <c r="A217" s="178"/>
      <c r="B217" s="178"/>
      <c r="C217" s="178"/>
      <c r="D217" s="178"/>
      <c r="E217" s="178"/>
      <c r="F217" s="178"/>
      <c r="G217" s="178"/>
      <c r="H217" s="178"/>
      <c r="I217" s="178"/>
      <c r="J217" s="178"/>
      <c r="K217" s="178"/>
      <c r="L217" s="178"/>
      <c r="M217" s="178"/>
      <c r="N217" s="178"/>
      <c r="O217" s="178"/>
      <c r="P217" s="178"/>
      <c r="Q217" s="178"/>
      <c r="R217" s="178"/>
      <c r="S217" s="178"/>
      <c r="T217" s="178"/>
      <c r="U217" s="178"/>
      <c r="V217" s="178"/>
      <c r="W217" s="178"/>
      <c r="X217" s="178"/>
      <c r="Y217" s="178"/>
      <c r="Z217" s="178"/>
      <c r="AA217" s="178"/>
      <c r="AB217" s="178"/>
      <c r="AC217" s="178"/>
      <c r="AD217" s="178"/>
      <c r="AE217" s="178"/>
      <c r="AF217" s="178"/>
      <c r="AG217" s="178"/>
      <c r="AH217" s="178"/>
      <c r="AI217" s="178"/>
      <c r="AJ217" s="178"/>
      <c r="AK217" s="178"/>
      <c r="AL217" s="178"/>
      <c r="AM217" s="178"/>
      <c r="AN217" s="178"/>
    </row>
    <row r="218" spans="1:40" x14ac:dyDescent="0.3">
      <c r="A218" s="178"/>
      <c r="B218" s="178"/>
      <c r="C218" s="178"/>
      <c r="D218" s="178"/>
      <c r="E218" s="178"/>
      <c r="F218" s="178"/>
      <c r="G218" s="178"/>
      <c r="H218" s="178"/>
      <c r="I218" s="178"/>
      <c r="J218" s="178"/>
      <c r="K218" s="178"/>
      <c r="L218" s="178"/>
      <c r="M218" s="178"/>
      <c r="N218" s="178"/>
      <c r="O218" s="178"/>
      <c r="P218" s="178"/>
      <c r="Q218" s="178"/>
      <c r="R218" s="178"/>
      <c r="S218" s="178"/>
      <c r="T218" s="178"/>
      <c r="U218" s="178"/>
      <c r="V218" s="178"/>
      <c r="W218" s="178"/>
      <c r="X218" s="178"/>
      <c r="Y218" s="178"/>
      <c r="Z218" s="178"/>
      <c r="AA218" s="178"/>
      <c r="AB218" s="178"/>
      <c r="AC218" s="178"/>
      <c r="AD218" s="178"/>
      <c r="AE218" s="178"/>
      <c r="AF218" s="178"/>
      <c r="AG218" s="178"/>
      <c r="AH218" s="178"/>
      <c r="AI218" s="178"/>
      <c r="AJ218" s="178"/>
      <c r="AK218" s="178"/>
      <c r="AL218" s="178"/>
      <c r="AM218" s="178"/>
      <c r="AN218" s="178"/>
    </row>
    <row r="219" spans="1:40" x14ac:dyDescent="0.3">
      <c r="A219" s="178"/>
      <c r="B219" s="178"/>
      <c r="C219" s="178"/>
      <c r="D219" s="178"/>
      <c r="E219" s="178"/>
      <c r="F219" s="178"/>
      <c r="G219" s="178"/>
      <c r="H219" s="178"/>
      <c r="I219" s="178"/>
      <c r="J219" s="178"/>
      <c r="K219" s="178"/>
      <c r="L219" s="178"/>
      <c r="M219" s="178"/>
      <c r="N219" s="178"/>
      <c r="O219" s="178"/>
      <c r="P219" s="178"/>
      <c r="Q219" s="178"/>
      <c r="R219" s="178"/>
      <c r="S219" s="178"/>
      <c r="T219" s="178"/>
      <c r="U219" s="178"/>
      <c r="V219" s="178"/>
      <c r="W219" s="178"/>
      <c r="X219" s="178"/>
      <c r="Y219" s="178"/>
      <c r="Z219" s="178"/>
      <c r="AA219" s="178"/>
      <c r="AB219" s="178"/>
      <c r="AC219" s="178"/>
      <c r="AD219" s="178"/>
      <c r="AE219" s="178"/>
      <c r="AF219" s="178"/>
      <c r="AG219" s="178"/>
      <c r="AH219" s="178"/>
      <c r="AI219" s="178"/>
      <c r="AJ219" s="178"/>
      <c r="AK219" s="178"/>
      <c r="AL219" s="178"/>
      <c r="AM219" s="178"/>
      <c r="AN219" s="178"/>
    </row>
    <row r="220" spans="1:40" x14ac:dyDescent="0.3">
      <c r="A220" s="178"/>
      <c r="B220" s="178"/>
      <c r="C220" s="178"/>
      <c r="D220" s="178"/>
      <c r="E220" s="178"/>
      <c r="F220" s="178"/>
      <c r="G220" s="178"/>
      <c r="H220" s="178"/>
      <c r="I220" s="178"/>
      <c r="J220" s="178"/>
      <c r="K220" s="178"/>
      <c r="L220" s="178"/>
      <c r="M220" s="178"/>
      <c r="N220" s="178"/>
      <c r="O220" s="178"/>
      <c r="P220" s="178"/>
      <c r="Q220" s="178"/>
      <c r="R220" s="178"/>
      <c r="S220" s="178"/>
      <c r="T220" s="178"/>
      <c r="U220" s="178"/>
      <c r="V220" s="178"/>
      <c r="W220" s="178"/>
      <c r="X220" s="178"/>
      <c r="Y220" s="178"/>
      <c r="Z220" s="178"/>
      <c r="AA220" s="178"/>
      <c r="AB220" s="178"/>
      <c r="AC220" s="178"/>
      <c r="AD220" s="178"/>
      <c r="AE220" s="178"/>
      <c r="AF220" s="178"/>
      <c r="AG220" s="178"/>
      <c r="AH220" s="178"/>
      <c r="AI220" s="178"/>
      <c r="AJ220" s="178"/>
      <c r="AK220" s="178"/>
      <c r="AL220" s="178"/>
      <c r="AM220" s="178"/>
      <c r="AN220" s="178"/>
    </row>
    <row r="221" spans="1:40" x14ac:dyDescent="0.3">
      <c r="A221" s="178"/>
      <c r="B221" s="178"/>
      <c r="C221" s="178"/>
      <c r="D221" s="178"/>
      <c r="E221" s="178"/>
      <c r="F221" s="178"/>
      <c r="G221" s="178"/>
      <c r="H221" s="178"/>
      <c r="I221" s="178"/>
      <c r="J221" s="178"/>
      <c r="K221" s="178"/>
      <c r="L221" s="178"/>
      <c r="M221" s="178"/>
      <c r="N221" s="178"/>
      <c r="O221" s="178"/>
      <c r="P221" s="178"/>
      <c r="Q221" s="178"/>
      <c r="R221" s="178"/>
      <c r="S221" s="178"/>
      <c r="T221" s="178"/>
      <c r="U221" s="178"/>
      <c r="V221" s="178"/>
      <c r="W221" s="178"/>
      <c r="X221" s="178"/>
      <c r="Y221" s="178"/>
      <c r="Z221" s="178"/>
      <c r="AA221" s="178"/>
      <c r="AB221" s="178"/>
      <c r="AC221" s="178"/>
      <c r="AD221" s="178"/>
      <c r="AE221" s="178"/>
      <c r="AF221" s="178"/>
      <c r="AG221" s="178"/>
      <c r="AH221" s="178"/>
      <c r="AI221" s="178"/>
      <c r="AJ221" s="178"/>
      <c r="AK221" s="178"/>
      <c r="AL221" s="178"/>
      <c r="AM221" s="178"/>
      <c r="AN221" s="178"/>
    </row>
    <row r="222" spans="1:40" x14ac:dyDescent="0.3">
      <c r="A222" s="178"/>
      <c r="B222" s="178"/>
      <c r="C222" s="178"/>
      <c r="D222" s="178"/>
      <c r="E222" s="178"/>
      <c r="F222" s="178"/>
      <c r="G222" s="178"/>
      <c r="H222" s="178"/>
      <c r="I222" s="178"/>
      <c r="J222" s="178"/>
      <c r="K222" s="178"/>
      <c r="L222" s="178"/>
      <c r="M222" s="178"/>
      <c r="N222" s="178"/>
      <c r="O222" s="178"/>
      <c r="P222" s="178"/>
      <c r="Q222" s="178"/>
      <c r="R222" s="178"/>
      <c r="S222" s="178"/>
      <c r="T222" s="178"/>
      <c r="U222" s="178"/>
      <c r="V222" s="178"/>
      <c r="W222" s="178"/>
      <c r="X222" s="178"/>
      <c r="Y222" s="178"/>
      <c r="Z222" s="178"/>
      <c r="AA222" s="178"/>
      <c r="AB222" s="178"/>
      <c r="AC222" s="178"/>
      <c r="AD222" s="178"/>
      <c r="AE222" s="178"/>
      <c r="AF222" s="178"/>
      <c r="AG222" s="178"/>
      <c r="AH222" s="178"/>
      <c r="AI222" s="178"/>
      <c r="AJ222" s="178"/>
      <c r="AK222" s="178"/>
      <c r="AL222" s="178"/>
      <c r="AM222" s="178"/>
      <c r="AN222" s="178"/>
    </row>
    <row r="223" spans="1:40" x14ac:dyDescent="0.3">
      <c r="A223" s="178"/>
      <c r="B223" s="178"/>
      <c r="C223" s="178"/>
      <c r="D223" s="178"/>
      <c r="E223" s="178"/>
      <c r="F223" s="178"/>
      <c r="G223" s="178"/>
      <c r="H223" s="178"/>
      <c r="I223" s="178"/>
      <c r="J223" s="178"/>
      <c r="K223" s="178"/>
      <c r="L223" s="178"/>
      <c r="M223" s="178"/>
      <c r="N223" s="178"/>
      <c r="O223" s="178"/>
      <c r="P223" s="178"/>
      <c r="Q223" s="178"/>
      <c r="R223" s="178"/>
      <c r="S223" s="178"/>
      <c r="T223" s="178"/>
      <c r="U223" s="178"/>
      <c r="V223" s="178"/>
      <c r="W223" s="178"/>
      <c r="X223" s="178"/>
      <c r="Y223" s="178"/>
      <c r="Z223" s="178"/>
      <c r="AA223" s="178"/>
      <c r="AB223" s="178"/>
      <c r="AC223" s="178"/>
      <c r="AD223" s="178"/>
      <c r="AE223" s="178"/>
      <c r="AF223" s="178"/>
      <c r="AG223" s="178"/>
      <c r="AH223" s="178"/>
      <c r="AI223" s="178"/>
      <c r="AJ223" s="178"/>
      <c r="AK223" s="178"/>
      <c r="AL223" s="178"/>
      <c r="AM223" s="178"/>
      <c r="AN223" s="178"/>
    </row>
    <row r="224" spans="1:40" x14ac:dyDescent="0.3">
      <c r="A224" s="178"/>
      <c r="B224" s="178"/>
      <c r="C224" s="178"/>
      <c r="D224" s="178"/>
      <c r="E224" s="178"/>
      <c r="F224" s="178"/>
      <c r="G224" s="178"/>
      <c r="H224" s="178"/>
      <c r="I224" s="178"/>
      <c r="J224" s="178"/>
      <c r="K224" s="178"/>
      <c r="L224" s="178"/>
      <c r="M224" s="178"/>
      <c r="N224" s="178"/>
      <c r="O224" s="178"/>
      <c r="P224" s="178"/>
      <c r="Q224" s="178"/>
      <c r="R224" s="178"/>
      <c r="S224" s="178"/>
      <c r="T224" s="178"/>
      <c r="U224" s="178"/>
      <c r="V224" s="178"/>
      <c r="W224" s="178"/>
      <c r="X224" s="178"/>
      <c r="Y224" s="178"/>
      <c r="Z224" s="178"/>
      <c r="AA224" s="178"/>
      <c r="AB224" s="178"/>
      <c r="AC224" s="178"/>
      <c r="AD224" s="178"/>
      <c r="AE224" s="178"/>
      <c r="AF224" s="178"/>
      <c r="AG224" s="178"/>
      <c r="AH224" s="178"/>
      <c r="AI224" s="178"/>
      <c r="AJ224" s="178"/>
      <c r="AK224" s="178"/>
      <c r="AL224" s="178"/>
      <c r="AM224" s="178"/>
      <c r="AN224" s="178"/>
    </row>
    <row r="225" spans="1:40" x14ac:dyDescent="0.3">
      <c r="A225" s="178"/>
      <c r="B225" s="178"/>
      <c r="C225" s="178"/>
      <c r="D225" s="178"/>
      <c r="E225" s="178"/>
      <c r="F225" s="178"/>
      <c r="G225" s="178"/>
      <c r="H225" s="178"/>
      <c r="I225" s="178"/>
      <c r="J225" s="178"/>
      <c r="K225" s="178"/>
      <c r="L225" s="178"/>
      <c r="M225" s="178"/>
      <c r="N225" s="178"/>
      <c r="O225" s="178"/>
      <c r="P225" s="178"/>
      <c r="Q225" s="178"/>
      <c r="R225" s="178"/>
      <c r="S225" s="178"/>
      <c r="T225" s="178"/>
      <c r="U225" s="178"/>
      <c r="V225" s="178"/>
      <c r="W225" s="178"/>
      <c r="X225" s="178"/>
      <c r="Y225" s="178"/>
      <c r="Z225" s="178"/>
      <c r="AA225" s="178"/>
      <c r="AB225" s="178"/>
      <c r="AC225" s="178"/>
      <c r="AD225" s="178"/>
      <c r="AE225" s="178"/>
      <c r="AF225" s="178"/>
      <c r="AG225" s="178"/>
      <c r="AH225" s="178"/>
      <c r="AI225" s="178"/>
      <c r="AJ225" s="178"/>
      <c r="AK225" s="178"/>
      <c r="AL225" s="178"/>
      <c r="AM225" s="178"/>
      <c r="AN225" s="178"/>
    </row>
    <row r="226" spans="1:40" x14ac:dyDescent="0.3">
      <c r="A226" s="178"/>
      <c r="B226" s="178"/>
      <c r="C226" s="178"/>
      <c r="D226" s="178"/>
      <c r="E226" s="178"/>
      <c r="F226" s="178"/>
      <c r="G226" s="178"/>
      <c r="H226" s="178"/>
      <c r="I226" s="178"/>
      <c r="J226" s="178"/>
      <c r="K226" s="178"/>
      <c r="L226" s="178"/>
      <c r="M226" s="178"/>
      <c r="N226" s="178"/>
      <c r="O226" s="178"/>
      <c r="P226" s="178"/>
      <c r="Q226" s="178"/>
      <c r="R226" s="178"/>
      <c r="S226" s="178"/>
      <c r="T226" s="178"/>
      <c r="U226" s="178"/>
      <c r="V226" s="178"/>
      <c r="W226" s="178"/>
      <c r="X226" s="178"/>
      <c r="Y226" s="178"/>
      <c r="Z226" s="178"/>
      <c r="AA226" s="178"/>
      <c r="AB226" s="178"/>
      <c r="AC226" s="178"/>
      <c r="AD226" s="178"/>
      <c r="AE226" s="178"/>
      <c r="AF226" s="178"/>
      <c r="AG226" s="178"/>
      <c r="AH226" s="178"/>
      <c r="AI226" s="178"/>
      <c r="AJ226" s="178"/>
      <c r="AK226" s="178"/>
      <c r="AL226" s="178"/>
      <c r="AM226" s="178"/>
      <c r="AN226" s="178"/>
    </row>
    <row r="227" spans="1:40" x14ac:dyDescent="0.3">
      <c r="A227" s="178"/>
      <c r="B227" s="178"/>
      <c r="C227" s="178"/>
      <c r="D227" s="178"/>
      <c r="E227" s="178"/>
      <c r="F227" s="178"/>
      <c r="G227" s="178"/>
      <c r="H227" s="178"/>
      <c r="I227" s="178"/>
      <c r="J227" s="178"/>
      <c r="K227" s="178"/>
      <c r="L227" s="178"/>
      <c r="M227" s="178"/>
      <c r="N227" s="178"/>
      <c r="O227" s="178"/>
      <c r="P227" s="178"/>
      <c r="Q227" s="178"/>
      <c r="R227" s="178"/>
      <c r="S227" s="178"/>
      <c r="T227" s="178"/>
      <c r="U227" s="178"/>
      <c r="V227" s="178"/>
      <c r="W227" s="178"/>
      <c r="X227" s="178"/>
      <c r="Y227" s="178"/>
      <c r="Z227" s="178"/>
      <c r="AA227" s="178"/>
      <c r="AB227" s="178"/>
      <c r="AC227" s="178"/>
      <c r="AD227" s="178"/>
      <c r="AE227" s="178"/>
      <c r="AF227" s="178"/>
      <c r="AG227" s="178"/>
      <c r="AH227" s="178"/>
      <c r="AI227" s="178"/>
      <c r="AJ227" s="178"/>
      <c r="AK227" s="178"/>
      <c r="AL227" s="178"/>
      <c r="AM227" s="178"/>
      <c r="AN227" s="178"/>
    </row>
    <row r="228" spans="1:40" x14ac:dyDescent="0.3">
      <c r="A228" s="178"/>
      <c r="B228" s="178"/>
      <c r="C228" s="178"/>
      <c r="D228" s="178"/>
      <c r="E228" s="178"/>
      <c r="F228" s="178"/>
      <c r="G228" s="178"/>
      <c r="H228" s="178"/>
      <c r="I228" s="178"/>
      <c r="J228" s="178"/>
      <c r="K228" s="178"/>
      <c r="L228" s="178"/>
      <c r="M228" s="178"/>
      <c r="N228" s="178"/>
      <c r="O228" s="178"/>
      <c r="P228" s="178"/>
      <c r="Q228" s="178"/>
      <c r="R228" s="178"/>
      <c r="S228" s="178"/>
      <c r="T228" s="178"/>
      <c r="U228" s="178"/>
      <c r="V228" s="178"/>
      <c r="W228" s="178"/>
      <c r="X228" s="178"/>
      <c r="Y228" s="178"/>
      <c r="Z228" s="178"/>
      <c r="AA228" s="178"/>
      <c r="AB228" s="178"/>
      <c r="AC228" s="178"/>
      <c r="AD228" s="178"/>
      <c r="AE228" s="178"/>
      <c r="AF228" s="178"/>
      <c r="AG228" s="178"/>
      <c r="AH228" s="178"/>
      <c r="AI228" s="178"/>
      <c r="AJ228" s="178"/>
      <c r="AK228" s="178"/>
      <c r="AL228" s="178"/>
      <c r="AM228" s="178"/>
      <c r="AN228" s="178"/>
    </row>
    <row r="229" spans="1:40" x14ac:dyDescent="0.3">
      <c r="A229" s="178"/>
      <c r="B229" s="178"/>
      <c r="C229" s="178"/>
      <c r="D229" s="178"/>
      <c r="E229" s="178"/>
      <c r="F229" s="178"/>
      <c r="G229" s="178"/>
      <c r="H229" s="178"/>
      <c r="I229" s="178"/>
      <c r="J229" s="178"/>
      <c r="K229" s="178"/>
      <c r="L229" s="178"/>
      <c r="M229" s="178"/>
      <c r="N229" s="178"/>
      <c r="O229" s="178"/>
      <c r="P229" s="178"/>
      <c r="Q229" s="178"/>
      <c r="R229" s="178"/>
      <c r="S229" s="178"/>
      <c r="T229" s="178"/>
      <c r="U229" s="178"/>
      <c r="V229" s="178"/>
      <c r="W229" s="178"/>
      <c r="X229" s="178"/>
      <c r="Y229" s="178"/>
      <c r="Z229" s="178"/>
      <c r="AA229" s="178"/>
      <c r="AB229" s="178"/>
      <c r="AC229" s="178"/>
      <c r="AD229" s="178"/>
      <c r="AE229" s="178"/>
      <c r="AF229" s="178"/>
      <c r="AG229" s="178"/>
      <c r="AH229" s="178"/>
      <c r="AI229" s="178"/>
      <c r="AJ229" s="178"/>
      <c r="AK229" s="178"/>
      <c r="AL229" s="178"/>
      <c r="AM229" s="178"/>
      <c r="AN229" s="178"/>
    </row>
    <row r="230" spans="1:40" x14ac:dyDescent="0.3">
      <c r="A230" s="178"/>
      <c r="B230" s="178"/>
      <c r="C230" s="178"/>
      <c r="D230" s="178"/>
      <c r="E230" s="178"/>
      <c r="F230" s="178"/>
      <c r="G230" s="178"/>
      <c r="H230" s="178"/>
      <c r="I230" s="178"/>
      <c r="J230" s="178"/>
      <c r="K230" s="178"/>
      <c r="L230" s="178"/>
      <c r="M230" s="178"/>
      <c r="N230" s="178"/>
      <c r="O230" s="178"/>
      <c r="P230" s="178"/>
      <c r="Q230" s="178"/>
      <c r="R230" s="178"/>
      <c r="S230" s="178"/>
      <c r="T230" s="178"/>
      <c r="U230" s="178"/>
      <c r="V230" s="178"/>
      <c r="W230" s="178"/>
      <c r="X230" s="178"/>
      <c r="Y230" s="178"/>
      <c r="Z230" s="178"/>
      <c r="AA230" s="178"/>
      <c r="AB230" s="178"/>
      <c r="AC230" s="178"/>
      <c r="AD230" s="178"/>
      <c r="AE230" s="178"/>
      <c r="AF230" s="178"/>
      <c r="AG230" s="178"/>
      <c r="AH230" s="178"/>
      <c r="AI230" s="178"/>
      <c r="AJ230" s="178"/>
      <c r="AK230" s="178"/>
      <c r="AL230" s="178"/>
      <c r="AM230" s="178"/>
      <c r="AN230" s="178"/>
    </row>
  </sheetData>
  <pageMargins left="0.511811024" right="0.511811024" top="0.78740157499999996" bottom="0.78740157499999996" header="0.31496062000000002" footer="0.31496062000000002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FASE OFENSIVA</vt:lpstr>
      <vt:lpstr>FASE DEFENSIVA</vt:lpstr>
      <vt:lpstr>Pontos</vt:lpstr>
      <vt:lpstr>PontosOF</vt:lpstr>
      <vt:lpstr>PontosDEF</vt:lpstr>
      <vt:lpstr>Índices</vt:lpstr>
      <vt:lpstr>ÍndicesOF</vt:lpstr>
      <vt:lpstr>ÍndicesDEF</vt:lpstr>
      <vt:lpstr>ÍndicesGERAL</vt:lpstr>
      <vt:lpstr>Por atleta</vt:lpstr>
      <vt:lpstr>PDF</vt:lpstr>
      <vt:lpstr>Pontos!Criterios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Pranke</dc:creator>
  <cp:lastModifiedBy>João Antonio Lobler</cp:lastModifiedBy>
  <cp:lastPrinted>2025-05-15T12:52:48Z</cp:lastPrinted>
  <dcterms:created xsi:type="dcterms:W3CDTF">2023-04-02T13:28:02Z</dcterms:created>
  <dcterms:modified xsi:type="dcterms:W3CDTF">2025-05-22T16:42:32Z</dcterms:modified>
</cp:coreProperties>
</file>